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filterPrivacy="1" codeName="ThisWorkbook"/>
  <xr:revisionPtr revIDLastSave="0" documentId="13_ncr:1_{DE34BF6D-68A9-46D2-9CD9-9A2C75F00341}" xr6:coauthVersionLast="36" xr6:coauthVersionMax="36" xr10:uidLastSave="{00000000-0000-0000-0000-000000000000}"/>
  <bookViews>
    <workbookView xWindow="0" yWindow="0" windowWidth="22260" windowHeight="12645" activeTab="1" xr2:uid="{00000000-000D-0000-FFFF-FFFF00000000}"/>
  </bookViews>
  <sheets>
    <sheet name="output_Animal" sheetId="1" r:id="rId1"/>
    <sheet name="output_AnimalArea" sheetId="2" r:id="rId2"/>
    <sheet name="配置工具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0" i="3" l="1"/>
  <c r="G239" i="3" l="1"/>
  <c r="G238" i="3"/>
  <c r="G237" i="3"/>
  <c r="G236" i="3"/>
  <c r="G235" i="3"/>
  <c r="L199" i="3" l="1"/>
  <c r="L195" i="3"/>
  <c r="L190" i="3"/>
  <c r="L186" i="3"/>
  <c r="L181" i="3"/>
  <c r="L177" i="3"/>
  <c r="L172" i="3"/>
  <c r="L168" i="3"/>
  <c r="L163" i="3"/>
  <c r="L159" i="3"/>
  <c r="L154" i="3"/>
  <c r="L145" i="3"/>
  <c r="L141" i="3"/>
  <c r="L136" i="3"/>
  <c r="L132" i="3"/>
  <c r="L127" i="3"/>
  <c r="L123" i="3"/>
  <c r="L118" i="3"/>
  <c r="L114" i="3"/>
  <c r="L109" i="3"/>
  <c r="L105" i="3"/>
  <c r="L100" i="3"/>
  <c r="L96" i="3"/>
  <c r="L91" i="3"/>
  <c r="L87" i="3"/>
  <c r="L82" i="3"/>
  <c r="L78" i="3"/>
  <c r="L73" i="3"/>
  <c r="L69" i="3"/>
  <c r="L64" i="3"/>
  <c r="L60" i="3"/>
  <c r="L55" i="3"/>
  <c r="L51" i="3"/>
  <c r="L46" i="3"/>
  <c r="L42" i="3"/>
  <c r="L37" i="3"/>
  <c r="L33" i="3"/>
  <c r="L28" i="3"/>
  <c r="L24" i="3"/>
</calcChain>
</file>

<file path=xl/sharedStrings.xml><?xml version="1.0" encoding="utf-8"?>
<sst xmlns="http://schemas.openxmlformats.org/spreadsheetml/2006/main" count="1151" uniqueCount="352">
  <si>
    <t>RotCtrlIntensity</t>
  </si>
  <si>
    <t>=</t>
  </si>
  <si>
    <t>ID</t>
  </si>
  <si>
    <t>1,</t>
  </si>
  <si>
    <t>Name</t>
  </si>
  <si>
    <t>ArchetypeName</t>
  </si>
  <si>
    <t>DefMoveSpeed</t>
  </si>
  <si>
    <t>ScaredMoveSpeed</t>
  </si>
  <si>
    <t>IdleAnimationName</t>
  </si>
  <si>
    <t>IdleAnimationDurRange</t>
  </si>
  <si>
    <t>MoveAnimationName</t>
  </si>
  <si>
    <t>MoveAnimationDurRange</t>
  </si>
  <si>
    <t>DeadAnimationName</t>
  </si>
  <si>
    <t>Weight</t>
  </si>
  <si>
    <t>5,</t>
  </si>
  <si>
    <t>LVCtrlIntensity</t>
  </si>
  <si>
    <t>Int</t>
    <phoneticPr fontId="1" type="noConversion"/>
  </si>
  <si>
    <t>String</t>
    <phoneticPr fontId="1" type="noConversion"/>
  </si>
  <si>
    <t>Float</t>
    <phoneticPr fontId="1" type="noConversion"/>
  </si>
  <si>
    <t>String[]</t>
    <phoneticPr fontId="1" type="noConversion"/>
  </si>
  <si>
    <t>Int[]</t>
    <phoneticPr fontId="1" type="noConversion"/>
  </si>
  <si>
    <t>Key1</t>
    <phoneticPr fontId="1" type="noConversion"/>
  </si>
  <si>
    <t>索引</t>
    <phoneticPr fontId="1" type="noConversion"/>
  </si>
  <si>
    <t>动物名</t>
    <phoneticPr fontId="1" type="noConversion"/>
  </si>
  <si>
    <t>原型</t>
    <phoneticPr fontId="1" type="noConversion"/>
  </si>
  <si>
    <t>移动速度</t>
    <phoneticPr fontId="1" type="noConversion"/>
  </si>
  <si>
    <t>惊吓移动速度</t>
    <phoneticPr fontId="1" type="noConversion"/>
  </si>
  <si>
    <t>待机动作</t>
    <phoneticPr fontId="1" type="noConversion"/>
  </si>
  <si>
    <t>待机持续时间范围</t>
    <phoneticPr fontId="1" type="noConversion"/>
  </si>
  <si>
    <t>移动动作</t>
    <phoneticPr fontId="1" type="noConversion"/>
  </si>
  <si>
    <t>移动持续时间范围</t>
    <phoneticPr fontId="1" type="noConversion"/>
  </si>
  <si>
    <t>死亡动作集合</t>
    <phoneticPr fontId="1" type="noConversion"/>
  </si>
  <si>
    <t>刷新权重</t>
    <phoneticPr fontId="1" type="noConversion"/>
  </si>
  <si>
    <t>角度PID强度</t>
    <phoneticPr fontId="1" type="noConversion"/>
  </si>
  <si>
    <t>线速度PID强度</t>
    <phoneticPr fontId="1" type="noConversion"/>
  </si>
  <si>
    <t>麋鹿</t>
  </si>
  <si>
    <t>Animal_Reindeer</t>
  </si>
  <si>
    <t>Idle,Idle02</t>
    <phoneticPr fontId="1" type="noConversion"/>
  </si>
  <si>
    <t>Run</t>
  </si>
  <si>
    <t>Dead</t>
  </si>
  <si>
    <t>5,20</t>
    <phoneticPr fontId="1" type="noConversion"/>
  </si>
  <si>
    <t>2,4</t>
    <phoneticPr fontId="1" type="noConversion"/>
  </si>
  <si>
    <t>黄野猪</t>
  </si>
  <si>
    <t>黑野猪</t>
  </si>
  <si>
    <t>猫头鹰</t>
  </si>
  <si>
    <t>山鸡</t>
  </si>
  <si>
    <t>棕熊</t>
  </si>
  <si>
    <t>灰狼</t>
  </si>
  <si>
    <t>蜗牛</t>
    <phoneticPr fontId="1" type="noConversion"/>
  </si>
  <si>
    <t>Animal_Boar001</t>
  </si>
  <si>
    <t>Animal_Boar002</t>
  </si>
  <si>
    <t>Animal_Owl</t>
  </si>
  <si>
    <t>Animal_Pheasant</t>
  </si>
  <si>
    <t>Animal_Bear</t>
  </si>
  <si>
    <t>Animal_Snail</t>
    <phoneticPr fontId="1" type="noConversion"/>
  </si>
  <si>
    <t>Idle,Idle2</t>
    <phoneticPr fontId="1" type="noConversion"/>
  </si>
  <si>
    <t>Idle</t>
    <phoneticPr fontId="1" type="noConversion"/>
  </si>
  <si>
    <t>Move</t>
    <phoneticPr fontId="1" type="noConversion"/>
  </si>
  <si>
    <t>Walk</t>
    <phoneticPr fontId="1" type="noConversion"/>
  </si>
  <si>
    <t>1,3</t>
    <phoneticPr fontId="1" type="noConversion"/>
  </si>
  <si>
    <t>1,4</t>
    <phoneticPr fontId="1" type="noConversion"/>
  </si>
  <si>
    <t>4,8</t>
    <phoneticPr fontId="1" type="noConversion"/>
  </si>
  <si>
    <t>Animal_Wolf</t>
    <phoneticPr fontId="1" type="noConversion"/>
  </si>
  <si>
    <t>位置</t>
    <phoneticPr fontId="1" type="noConversion"/>
  </si>
  <si>
    <t>范围</t>
    <phoneticPr fontId="1" type="noConversion"/>
  </si>
  <si>
    <t>最大数量</t>
    <phoneticPr fontId="1" type="noConversion"/>
  </si>
  <si>
    <t>初始数量</t>
    <phoneticPr fontId="1" type="noConversion"/>
  </si>
  <si>
    <t>刷新点</t>
    <phoneticPr fontId="1" type="noConversion"/>
  </si>
  <si>
    <t>Lua</t>
    <phoneticPr fontId="1" type="noConversion"/>
  </si>
  <si>
    <t>动物ID集合</t>
    <phoneticPr fontId="1" type="noConversion"/>
  </si>
  <si>
    <t>Pos</t>
  </si>
  <si>
    <t>Range</t>
  </si>
  <si>
    <t>AmountMax</t>
  </si>
  <si>
    <t>InitAmount</t>
  </si>
  <si>
    <t>SpawnPoint</t>
  </si>
  <si>
    <t>AnimalIDList</t>
  </si>
  <si>
    <t>Vector3</t>
    <phoneticPr fontId="1" type="noConversion"/>
  </si>
  <si>
    <t>key1</t>
    <phoneticPr fontId="1" type="noConversion"/>
  </si>
  <si>
    <t>-5.830566,</t>
  </si>
  <si>
    <t>local</t>
  </si>
  <si>
    <t>AnimalAreaXls</t>
  </si>
  <si>
    <t>{</t>
  </si>
  <si>
    <t>[1]</t>
  </si>
  <si>
    <t>25,</t>
  </si>
  <si>
    <t>4,</t>
  </si>
  <si>
    <t>8,</t>
  </si>
  <si>
    <t>{1,</t>
  </si>
  <si>
    <t>2,</t>
  </si>
  <si>
    <t>3,</t>
  </si>
  <si>
    <t>6}</t>
  </si>
  <si>
    <t>},</t>
  </si>
  <si>
    <t>[2]</t>
  </si>
  <si>
    <t>1.146100,</t>
  </si>
  <si>
    <t>13,</t>
  </si>
  <si>
    <t>[3]</t>
  </si>
  <si>
    <t>22.967964,</t>
  </si>
  <si>
    <t>30,</t>
  </si>
  <si>
    <t>[4]</t>
  </si>
  <si>
    <t>18.175932,</t>
  </si>
  <si>
    <t>6,</t>
  </si>
  <si>
    <t>[5]</t>
  </si>
  <si>
    <t>[6]</t>
  </si>
  <si>
    <t>4.103897,</t>
  </si>
  <si>
    <t>0,</t>
  </si>
  <si>
    <t>{4}</t>
  </si>
  <si>
    <t>[7]</t>
  </si>
  <si>
    <t>7,</t>
  </si>
  <si>
    <t>1.967392,</t>
  </si>
  <si>
    <t>[8]</t>
  </si>
  <si>
    <t>3.849622,</t>
  </si>
  <si>
    <t>[9]</t>
  </si>
  <si>
    <t>9,</t>
  </si>
  <si>
    <t>-0.133879,</t>
  </si>
  <si>
    <t>[10]</t>
  </si>
  <si>
    <t>10,</t>
  </si>
  <si>
    <t>3.123763,</t>
  </si>
  <si>
    <t>[11]</t>
  </si>
  <si>
    <t>11,</t>
  </si>
  <si>
    <t>-6.796978,</t>
  </si>
  <si>
    <t>[12]</t>
  </si>
  <si>
    <t>12,</t>
  </si>
  <si>
    <t>-5.504182,</t>
  </si>
  <si>
    <t>[13]</t>
  </si>
  <si>
    <t>-8.014651,</t>
  </si>
  <si>
    <t>[14]</t>
  </si>
  <si>
    <t>14,</t>
  </si>
  <si>
    <t>-1.620862,</t>
  </si>
  <si>
    <t>[15]</t>
  </si>
  <si>
    <t>15,</t>
  </si>
  <si>
    <t>[16]</t>
  </si>
  <si>
    <t>16,</t>
  </si>
  <si>
    <t>-6.587202,</t>
  </si>
  <si>
    <t>[17]</t>
  </si>
  <si>
    <t>17,</t>
  </si>
  <si>
    <t>-5.285405,</t>
  </si>
  <si>
    <t>[18]</t>
  </si>
  <si>
    <t>18,</t>
  </si>
  <si>
    <t>-5.562537,</t>
  </si>
  <si>
    <t>[19]</t>
  </si>
  <si>
    <t>19,</t>
  </si>
  <si>
    <t>-6.524339,</t>
  </si>
  <si>
    <t>[20]</t>
  </si>
  <si>
    <t>20,</t>
  </si>
  <si>
    <t>-0.612609,</t>
  </si>
  <si>
    <t>}</t>
  </si>
  <si>
    <t>return</t>
  </si>
  <si>
    <t>-91.231812,-5.830566,8.811942</t>
  </si>
  <si>
    <t>-141.888611,1.146100,26.263166</t>
  </si>
  <si>
    <t>-78.490280,22.967964,78.842651</t>
  </si>
  <si>
    <t>-134.171356,18.175932,97.476051</t>
  </si>
  <si>
    <t>-42.108547,1.146100,-34.628693</t>
  </si>
  <si>
    <t>-162.690948,1.967392,24.952276</t>
  </si>
  <si>
    <t>-145.968903,3.849622,20.601957</t>
  </si>
  <si>
    <t>-124.259262,-0.133879,8.912663</t>
  </si>
  <si>
    <t>-120.020340,3.123763,-5.451871</t>
  </si>
  <si>
    <t>-60.434696,-6.796978,12.277740</t>
  </si>
  <si>
    <t>3.408135,-5.504182,41.100723</t>
  </si>
  <si>
    <t>104.964157,-8.014651,1.472798</t>
  </si>
  <si>
    <t>-54.611588,-1.620862,-36.291142</t>
  </si>
  <si>
    <t>-55.171082,-6.587202,-50.212555</t>
  </si>
  <si>
    <t>-75.106125,-5.285405,-60.691929</t>
  </si>
  <si>
    <t>-99.240250,-5.562537,-28.492371</t>
  </si>
  <si>
    <t>-60.648998,-6.524339,-31.381584</t>
  </si>
  <si>
    <t>-153.982224,-0.612609,110.591949</t>
  </si>
  <si>
    <t>-55.171082,-1.620862,-26.577339</t>
  </si>
  <si>
    <t>91.231796,-5.830500,8.811900</t>
  </si>
  <si>
    <t>-141.916855,1.146000,26.263100</t>
  </si>
  <si>
    <t>-69.664383,15.355064,85.938202</t>
  </si>
  <si>
    <t>-134.171295,7.798296,97.470001</t>
  </si>
  <si>
    <t>-33.014587,1.146000,-34.628601</t>
  </si>
  <si>
    <t>{</t>
    <phoneticPr fontId="1" type="noConversion"/>
  </si>
  <si>
    <t>掉落池ID</t>
    <phoneticPr fontId="1" type="noConversion"/>
  </si>
  <si>
    <t>ItemPoolID</t>
    <phoneticPr fontId="1" type="noConversion"/>
  </si>
  <si>
    <t>Int</t>
    <phoneticPr fontId="1" type="noConversion"/>
  </si>
  <si>
    <t>[17:01:58.000</t>
  </si>
  <si>
    <t>[17:01:58.001</t>
  </si>
  <si>
    <t>da</t>
  </si>
  <si>
    <t>kuai</t>
  </si>
  <si>
    <t>8.811942,</t>
  </si>
  <si>
    <t>26.263166,</t>
  </si>
  <si>
    <t>78.842651,</t>
  </si>
  <si>
    <t>97.476051,</t>
  </si>
  <si>
    <t>-34.628693,</t>
  </si>
  <si>
    <t>120.931183,</t>
  </si>
  <si>
    <t>24.952276,</t>
  </si>
  <si>
    <t>20.601957,</t>
  </si>
  <si>
    <t>8.912663,</t>
  </si>
  <si>
    <t>-5.451871,</t>
  </si>
  <si>
    <t>12.277740,</t>
  </si>
  <si>
    <t>41.100723,</t>
  </si>
  <si>
    <t>1.472798,</t>
  </si>
  <si>
    <t>-36.291142,</t>
  </si>
  <si>
    <t>-26.577339,</t>
  </si>
  <si>
    <t>-50.212555,</t>
  </si>
  <si>
    <t>-60.691929,</t>
  </si>
  <si>
    <t>-28.492371,</t>
  </si>
  <si>
    <t>-31.381584,</t>
  </si>
  <si>
    <t>110.591949,</t>
  </si>
  <si>
    <t>Vector3-91.231812,</t>
  </si>
  <si>
    <t>{Vector3-91.231812,-5.830566,8.811942},</t>
  </si>
  <si>
    <t>Vector3-141.888611,</t>
  </si>
  <si>
    <t>{Vector3-141.888611,1.146100,26.263166},</t>
  </si>
  <si>
    <t>Vector3-78.490280,</t>
  </si>
  <si>
    <t>{Vector3-78.490280,22.967964,78.842651},</t>
  </si>
  <si>
    <t>Vector3-134.171356,</t>
  </si>
  <si>
    <t>{Vector3-134.171356,18.175932,97.476051},</t>
  </si>
  <si>
    <t>Vector3-42.108547,</t>
  </si>
  <si>
    <t>{Vector3-42.108547,1.146100,-34.628693},</t>
  </si>
  <si>
    <t>Vector3-148.074799,</t>
  </si>
  <si>
    <t>{Vector3-148.074799,4.103897,120.931183},</t>
  </si>
  <si>
    <t>Vector3-162.690948,</t>
  </si>
  <si>
    <t>{Vector3-162.690948,1.967392,24.952276},</t>
  </si>
  <si>
    <t>Vector3-145.968903,</t>
  </si>
  <si>
    <t>{Vector3-145.968903,3.849622,20.601957},</t>
  </si>
  <si>
    <t>Vector3-124.259262,</t>
  </si>
  <si>
    <t>{Vector3-124.259262,-0.133879,8.912663},</t>
  </si>
  <si>
    <t>Vector3-120.020340,</t>
  </si>
  <si>
    <t>{Vector3-120.020340,3.123763,-5.451871},</t>
  </si>
  <si>
    <t>Vector3-60.434696,</t>
  </si>
  <si>
    <t>{Vector3-60.434696,-6.796978,12.277740},</t>
  </si>
  <si>
    <t>Vector33.408135,</t>
  </si>
  <si>
    <t>{Vector33.408135,-5.504182,41.100723},</t>
  </si>
  <si>
    <t>Vector3104.964157,</t>
  </si>
  <si>
    <t>{Vector3104.964157,-8.014651,1.472798},</t>
  </si>
  <si>
    <t>Vector3-54.611588,</t>
  </si>
  <si>
    <t>{Vector3-54.611588,-1.620862,-36.291142},</t>
  </si>
  <si>
    <t>Vector3-55.171082,</t>
  </si>
  <si>
    <t>Vector3-91.231812,-5.830566,8.811942,</t>
  </si>
  <si>
    <t>{Vector3-55.171082,-1.620862,-26.577339},</t>
  </si>
  <si>
    <t>{Vector3-55.171082,-6.587202,-50.212555},</t>
  </si>
  <si>
    <t>Vector3-75.106125,</t>
  </si>
  <si>
    <t>{Vector3-75.106125,-5.285405,-60.691929},</t>
  </si>
  <si>
    <t>Vector3-99.240250,</t>
  </si>
  <si>
    <t>{Vector3-99.240250,-5.562537,-28.492371},</t>
  </si>
  <si>
    <t>Vector3-60.648998,</t>
  </si>
  <si>
    <t>{Vector3-60.648998,-6.524339,-31.381584},</t>
  </si>
  <si>
    <t>Vector3-153.982224,</t>
  </si>
  <si>
    <t>{Vector3-153.982224,-0.612609,110.591949},</t>
  </si>
  <si>
    <t>91.231300,-5.830500,8.811900</t>
  </si>
  <si>
    <t>-141.916702,1.146000,26.263000</t>
  </si>
  <si>
    <t>-68.851181,15.354900,85.938202</t>
  </si>
  <si>
    <t>-134.171204,7.798200,97.470001</t>
  </si>
  <si>
    <t>-94.942108,1.146000,19.880098</t>
  </si>
  <si>
    <t>Vector3(</t>
    <phoneticPr fontId="1" type="noConversion"/>
  </si>
  <si>
    <t>),</t>
    <phoneticPr fontId="1" type="noConversion"/>
  </si>
  <si>
    <t>)}</t>
    <phoneticPr fontId="1" type="noConversion"/>
  </si>
  <si>
    <t>{Vector3(97.194099,-10.539500,12.987900),Vector3(107.983803,-10.539500,12.987900),Vector3(87.392601,-10.539500,28.084202)}</t>
  </si>
  <si>
    <t>{Vector3(-135.006897,-0.845700,26.263000),Vector3(-139.241608,-0.845700,31.291901),Vector3(-152.406509,-0.845700,25.132101)}</t>
  </si>
  <si>
    <t>{Vector3(-64.820877,13.711600,89.634903),Vector3(-58.601181,7.993800,69.924698),Vector3(-53.503479,13.700900,86.452003)}</t>
  </si>
  <si>
    <t>{Vector3(-130.210999,-2.350300,97.470001),Vector3(-125.626701,-2.350300,85.143204),Vector3(-139.915710,-2.350300,114.949203)}</t>
  </si>
  <si>
    <t>{Vector3(-83.424911,-10.558600,23.395599),Vector3(-88.207809,-10.558600,40.867401),Vector3(-100.728409,-7.935700,8.450098)}</t>
  </si>
  <si>
    <t>池子ID</t>
    <phoneticPr fontId="1" type="noConversion"/>
  </si>
  <si>
    <t>PoolId</t>
    <phoneticPr fontId="1" type="noConversion"/>
  </si>
  <si>
    <t>Comment</t>
    <phoneticPr fontId="1" type="noConversion"/>
  </si>
  <si>
    <t>1,2,3,4,5,6,7,8</t>
    <phoneticPr fontId="1" type="noConversion"/>
  </si>
  <si>
    <t>9,10,11,12,13,14,15,16</t>
    <phoneticPr fontId="1" type="noConversion"/>
  </si>
  <si>
    <t>17,18,19,20,21,22,23,24</t>
    <phoneticPr fontId="1" type="noConversion"/>
  </si>
  <si>
    <t>25,26,27,28,29,30,31,32</t>
    <phoneticPr fontId="1" type="noConversion"/>
  </si>
  <si>
    <t>33,34,35,36,37,38,39,40</t>
    <phoneticPr fontId="1" type="noConversion"/>
  </si>
  <si>
    <t>SpawnPoint</t>
    <phoneticPr fontId="1" type="noConversion"/>
  </si>
  <si>
    <t>2,6</t>
    <phoneticPr fontId="1" type="noConversion"/>
  </si>
  <si>
    <t>[11:56:34.109</t>
  </si>
  <si>
    <t>(23.493162,-176.061081,-3.999995)</t>
  </si>
  <si>
    <t>(-0.000000,84.999977,0.000000)</t>
  </si>
  <si>
    <t>(-1.506839,21.438868,-1.853703)</t>
  </si>
  <si>
    <t>(-1.506839,-138.561111,4.646305)</t>
  </si>
  <si>
    <t>(15.493168,-120.061089,6.000004)</t>
  </si>
  <si>
    <t>(3.993165,144.438904,6.000006)</t>
  </si>
  <si>
    <t>(3.993165,27.938900,6.000005)</t>
  </si>
  <si>
    <t>(0.493165,-34.561111,3.000005)</t>
  </si>
  <si>
    <t>(23.493172,53.438892,-3.999997)</t>
  </si>
  <si>
    <t>(23.493166,12.438893,-3.999996)</t>
  </si>
  <si>
    <t>点1</t>
    <phoneticPr fontId="1" type="noConversion"/>
  </si>
  <si>
    <t>点2</t>
    <phoneticPr fontId="1" type="noConversion"/>
  </si>
  <si>
    <t>Pos</t>
    <phoneticPr fontId="1" type="noConversion"/>
  </si>
  <si>
    <t>Rot</t>
    <phoneticPr fontId="1" type="noConversion"/>
  </si>
  <si>
    <t>点3</t>
  </si>
  <si>
    <t>点4</t>
  </si>
  <si>
    <t>点5</t>
  </si>
  <si>
    <t>点6</t>
  </si>
  <si>
    <t>点7</t>
  </si>
  <si>
    <t>点8</t>
  </si>
  <si>
    <t>点9</t>
  </si>
  <si>
    <t>点10</t>
  </si>
  <si>
    <t>输出</t>
    <phoneticPr fontId="1" type="noConversion"/>
  </si>
  <si>
    <t>,-3.999995),[2</t>
  </si>
  <si>
    <t>EulerDegree(-0.000000,84.999977,0.000000)},[2</t>
  </si>
  <si>
    <t>={[1</t>
  </si>
  <si>
    <t>={Vector3,[2</t>
  </si>
  <si>
    <t>EulerDegree},[3</t>
  </si>
  <si>
    <t>EulerDegree},[4</t>
  </si>
  <si>
    <t>EulerDegree},[5</t>
  </si>
  <si>
    <t>EulerDegree},[6</t>
  </si>
  <si>
    <t>EulerDegree},[7</t>
  </si>
  <si>
    <t>EulerDegree},[8</t>
  </si>
  <si>
    <t>EulerDegree},[9</t>
  </si>
  <si>
    <t>EulerDegree}}</t>
  </si>
  <si>
    <t>(97.194099,-10.539500,12.987900)</t>
    <phoneticPr fontId="1" type="noConversion"/>
  </si>
  <si>
    <t>(107.983803,-10.539500,12.987900)</t>
    <phoneticPr fontId="1" type="noConversion"/>
  </si>
  <si>
    <t>(87.392601,-10.539500,28.084202)</t>
    <phoneticPr fontId="1" type="noConversion"/>
  </si>
  <si>
    <t>(-135.006897,-0.845700,26.263000)</t>
    <phoneticPr fontId="1" type="noConversion"/>
  </si>
  <si>
    <t>(-139.241608,-0.845700,31.291901)</t>
    <phoneticPr fontId="1" type="noConversion"/>
  </si>
  <si>
    <t>(-152.406509,-0.845700,25.132101)</t>
    <phoneticPr fontId="1" type="noConversion"/>
  </si>
  <si>
    <t>(-64.820877,13.711600,89.634903)</t>
    <phoneticPr fontId="1" type="noConversion"/>
  </si>
  <si>
    <t>(-58.601181,7.993800,69.924698)</t>
    <phoneticPr fontId="1" type="noConversion"/>
  </si>
  <si>
    <t>(-53.503479,13.700900,86.452003)</t>
    <phoneticPr fontId="1" type="noConversion"/>
  </si>
  <si>
    <t>(-130.210999,-2.350300,97.470001)</t>
    <phoneticPr fontId="1" type="noConversion"/>
  </si>
  <si>
    <t>(-139.915710,-2.350300,114.949203)</t>
    <phoneticPr fontId="1" type="noConversion"/>
  </si>
  <si>
    <t>(-125.626701,-2.350300,85.143204)</t>
    <phoneticPr fontId="1" type="noConversion"/>
  </si>
  <si>
    <t>(-83.424911,-10.558600,23.395599)</t>
    <phoneticPr fontId="1" type="noConversion"/>
  </si>
  <si>
    <t>(-100.728409,-7.935700,8.450098)</t>
    <phoneticPr fontId="1" type="noConversion"/>
  </si>
  <si>
    <t>(-88.207809,-10.558600,40.867401)</t>
    <phoneticPr fontId="1" type="noConversion"/>
  </si>
  <si>
    <t>-82.741425,-9.584051,-38.975174</t>
  </si>
  <si>
    <t>-76.049858,-7.611430,-27.058437</t>
  </si>
  <si>
    <t>-82.127411,-7.395976,-20.845181</t>
  </si>
  <si>
    <t>-91.381111,-7.772848,-38.987873</t>
  </si>
  <si>
    <t>-97.121101,-9.645856,-39.279797</t>
  </si>
  <si>
    <t>-91.902367,-5.105931,-39.043350</t>
  </si>
  <si>
    <t>-75.584839,-5.922688,-27.719700</t>
  </si>
  <si>
    <t>-81.645752,-6.479128,-20.762644</t>
  </si>
  <si>
    <t>-82.680717,-9.203810,-20.458792</t>
  </si>
  <si>
    <t>-75.860191,-9.241358,-27.826609</t>
  </si>
  <si>
    <t>靶子</t>
    <phoneticPr fontId="1" type="noConversion"/>
  </si>
  <si>
    <t>Animal_Target</t>
  </si>
  <si>
    <t>5,5</t>
    <phoneticPr fontId="1" type="noConversion"/>
  </si>
  <si>
    <t>1,23</t>
    <phoneticPr fontId="1" type="noConversion"/>
  </si>
  <si>
    <t>41,</t>
    <phoneticPr fontId="1" type="noConversion"/>
  </si>
  <si>
    <t>{{Vector3(97.194099,-10.539500,12.987900),EulerDegree(0,0,0)},{Vector3(107.983803,-10.539500,12.987900),EulerDegree(0,0,0)},{Vector3(87.392601,-10.539500,28.084202),EulerDegree(0,0,0)}}</t>
    <phoneticPr fontId="1" type="noConversion"/>
  </si>
  <si>
    <t>{{Vector3(-135.006897,-0.845700,26.263000),EulerDegree(0,0,0)},{Vector3(-139.241608,-0.845700,31.291901),EulerDegree(0,0,0)},{Vector3(-152.406509,-0.845700,25.132101),EulerDegree(0,0,0)}}</t>
    <phoneticPr fontId="1" type="noConversion"/>
  </si>
  <si>
    <t>{{Vector3(-64.820877,13.711600,89.634903),EulerDegree(0,0,0)},{Vector3(-58.601181,7.993800,69.924698),EulerDegree(0,0,0)},{Vector3(-53.503479,13.700900,86.452003),EulerDegree(0,0,0)}}</t>
    <phoneticPr fontId="1" type="noConversion"/>
  </si>
  <si>
    <t>{{Vector3(-130.210999,-2.350300,97.470001),EulerDegree(0,0,0)},{Vector3(-125.626701,-2.350300,85.143204),EulerDegree(0,0,0)},{Vector3(-139.915710,-2.350300,114.949203),EulerDegree(0,0,0)}}</t>
    <phoneticPr fontId="1" type="noConversion"/>
  </si>
  <si>
    <t>{{Vector3(-83.424911,-10.558600,23.395599),EulerDegree(0,0,0)},{Vector3(-88.207809,-10.558600,40.867401),EulerDegree(0,0,0)},{Vector3(-100.728409,-7.935700,8.450098),EulerDegree(0,0,0)}}</t>
    <phoneticPr fontId="1" type="noConversion"/>
  </si>
  <si>
    <t>(-82.741425,-9.584051,-38.975174)</t>
    <phoneticPr fontId="1" type="noConversion"/>
  </si>
  <si>
    <t>(-76.049858,-7.611430,-27.058437)</t>
    <phoneticPr fontId="1" type="noConversion"/>
  </si>
  <si>
    <t>(-82.127411,-7.395976,-20.845181)</t>
    <phoneticPr fontId="1" type="noConversion"/>
  </si>
  <si>
    <t>(-91.381111,-7.772848,-38.987873)</t>
    <phoneticPr fontId="1" type="noConversion"/>
  </si>
  <si>
    <t>(-97.121101,-9.645856,-39.279797)</t>
    <phoneticPr fontId="1" type="noConversion"/>
  </si>
  <si>
    <t>(-91.902367,-5.105931,-39.043350)</t>
    <phoneticPr fontId="1" type="noConversion"/>
  </si>
  <si>
    <t>(-75.584839,-5.922688,-27.719700)</t>
    <phoneticPr fontId="1" type="noConversion"/>
  </si>
  <si>
    <t>(-81.645752,-6.479128,-20.762644)</t>
    <phoneticPr fontId="1" type="noConversion"/>
  </si>
  <si>
    <t>(-82.680717,-9.203810,-20.458792)</t>
    <phoneticPr fontId="1" type="noConversion"/>
  </si>
  <si>
    <t>(-75.860191,-9.241358,-27.826609)</t>
    <phoneticPr fontId="1" type="noConversion"/>
  </si>
  <si>
    <t>{{Vector3(-75.860191,-9.241358,-27.826609),EulerDegree(23.493166,12.438893,-3.999996)}}</t>
    <phoneticPr fontId="1" type="noConversion"/>
  </si>
  <si>
    <t>{{Vector3(-82.741425,-9.584051,-38.975174),EulerDegree(23.493162,-176.061081,-3.999995)}}</t>
    <phoneticPr fontId="1" type="noConversion"/>
  </si>
  <si>
    <t>{{Vector3(-76.049858,-7.611430,-27.058437),EulerDegree(-0.000000,84.999977,0.000000)}}</t>
    <phoneticPr fontId="1" type="noConversion"/>
  </si>
  <si>
    <t>{{Vector3(-82.127411,-7.395976,-20.845181),EulerDegree(-1.506839,21.438868,-1.853703)}}</t>
    <phoneticPr fontId="1" type="noConversion"/>
  </si>
  <si>
    <t>{{Vector3(-91.381111,-7.772848,-38.987873),EulerDegree(-1.506839,-138.561111,4.646305)}}</t>
    <phoneticPr fontId="1" type="noConversion"/>
  </si>
  <si>
    <t>{{Vector3(-97.121101,-9.645856,-39.279797),EulerDegree(15.493168,-120.061089,6.000004)}}</t>
    <phoneticPr fontId="1" type="noConversion"/>
  </si>
  <si>
    <t>{{Vector3(-91.902367,-5.105931,-39.043350),EulerDegree(3.993165,144.438904,6.000006)}}</t>
    <phoneticPr fontId="1" type="noConversion"/>
  </si>
  <si>
    <t>{{Vector3(-75.584839,-5.922688,-27.719700),EulerDegree(3.993165,27.938900,6.000005)}}</t>
    <phoneticPr fontId="1" type="noConversion"/>
  </si>
  <si>
    <t>{{Vector3(-81.645752,-6.479128,-20.762644),EulerDegree(0.493165,-34.561111,3.000005)}}</t>
    <phoneticPr fontId="1" type="noConversion"/>
  </si>
  <si>
    <t>{{Vector3(-82.680717,-9.203810,-20.458792),EulerDegree(23.493172,53.438892,-3.999997)}}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</si>
</sst>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2" fillId="0" borderId="0" xfId="0" applyFo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19050</xdr:rowOff>
        </xdr:from>
        <xdr:to>
          <xdr:col>1</xdr:col>
          <xdr:colOff>3133725</xdr:colOff>
          <xdr:row>4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66C8250F-F11D-4141-A96F-F1F934E686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输出刷新点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45"/>
  <sheetViews>
    <sheetView workbookViewId="0">
      <selection activeCell="Q37" sqref="Q37"/>
    </sheetView>
  </sheetViews>
  <sheetFormatPr defaultRowHeight="14.25" x14ac:dyDescent="0.2"/>
  <cols>
    <col min="4" max="4" width="28.5" customWidth="1"/>
    <col min="12" max="12" width="9.5" bestFit="1" customWidth="1"/>
    <col min="13" max="13" width="10.5" bestFit="1" customWidth="1"/>
  </cols>
  <sheetData>
    <row r="1" spans="1:15" x14ac:dyDescent="0.2">
      <c r="A1" t="s">
        <v>22</v>
      </c>
      <c r="B1" t="s">
        <v>251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34</v>
      </c>
      <c r="N1" t="s">
        <v>33</v>
      </c>
      <c r="O1" t="s">
        <v>171</v>
      </c>
    </row>
    <row r="2" spans="1:15" x14ac:dyDescent="0.2">
      <c r="A2" t="s">
        <v>2</v>
      </c>
      <c r="B2" t="s">
        <v>252</v>
      </c>
      <c r="C2" t="s">
        <v>4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15</v>
      </c>
      <c r="N2" t="s">
        <v>0</v>
      </c>
      <c r="O2" t="s">
        <v>172</v>
      </c>
    </row>
    <row r="3" spans="1:15" x14ac:dyDescent="0.2">
      <c r="A3" t="s">
        <v>16</v>
      </c>
      <c r="B3" t="s">
        <v>253</v>
      </c>
      <c r="C3" t="s">
        <v>17</v>
      </c>
      <c r="D3" t="s">
        <v>17</v>
      </c>
      <c r="E3" t="s">
        <v>18</v>
      </c>
      <c r="F3" t="s">
        <v>18</v>
      </c>
      <c r="G3" t="s">
        <v>19</v>
      </c>
      <c r="H3" t="s">
        <v>20</v>
      </c>
      <c r="I3" t="s">
        <v>19</v>
      </c>
      <c r="J3" t="s">
        <v>20</v>
      </c>
      <c r="K3" t="s">
        <v>19</v>
      </c>
      <c r="L3" t="s">
        <v>16</v>
      </c>
      <c r="M3" t="s">
        <v>16</v>
      </c>
      <c r="N3" t="s">
        <v>16</v>
      </c>
      <c r="O3" t="s">
        <v>173</v>
      </c>
    </row>
    <row r="4" spans="1:15" x14ac:dyDescent="0.2">
      <c r="A4" t="s">
        <v>21</v>
      </c>
    </row>
    <row r="5" spans="1:15" x14ac:dyDescent="0.2">
      <c r="A5">
        <v>1</v>
      </c>
      <c r="B5">
        <v>1</v>
      </c>
      <c r="C5" t="s">
        <v>35</v>
      </c>
      <c r="D5" t="s">
        <v>36</v>
      </c>
      <c r="E5">
        <v>10</v>
      </c>
      <c r="F5">
        <v>10</v>
      </c>
      <c r="G5" s="1" t="s">
        <v>37</v>
      </c>
      <c r="H5" t="s">
        <v>40</v>
      </c>
      <c r="I5" t="s">
        <v>38</v>
      </c>
      <c r="J5" t="s">
        <v>41</v>
      </c>
      <c r="K5" t="s">
        <v>39</v>
      </c>
      <c r="L5">
        <v>10</v>
      </c>
      <c r="M5">
        <v>500000</v>
      </c>
      <c r="N5">
        <v>1000000</v>
      </c>
      <c r="O5">
        <v>1</v>
      </c>
    </row>
    <row r="6" spans="1:15" x14ac:dyDescent="0.2">
      <c r="A6">
        <v>2</v>
      </c>
      <c r="B6">
        <v>1</v>
      </c>
      <c r="C6" t="s">
        <v>42</v>
      </c>
      <c r="D6" t="s">
        <v>49</v>
      </c>
      <c r="E6">
        <v>5</v>
      </c>
      <c r="F6">
        <v>10</v>
      </c>
      <c r="G6" s="1" t="s">
        <v>55</v>
      </c>
      <c r="H6" t="s">
        <v>40</v>
      </c>
      <c r="I6" t="s">
        <v>58</v>
      </c>
      <c r="J6" t="s">
        <v>41</v>
      </c>
      <c r="K6" t="s">
        <v>39</v>
      </c>
      <c r="L6">
        <v>8</v>
      </c>
      <c r="M6">
        <v>50000000</v>
      </c>
      <c r="N6">
        <v>200000000</v>
      </c>
      <c r="O6">
        <v>4</v>
      </c>
    </row>
    <row r="7" spans="1:15" x14ac:dyDescent="0.2">
      <c r="A7">
        <v>3</v>
      </c>
      <c r="B7">
        <v>1</v>
      </c>
      <c r="C7" t="s">
        <v>43</v>
      </c>
      <c r="D7" t="s">
        <v>50</v>
      </c>
      <c r="E7">
        <v>5</v>
      </c>
      <c r="F7">
        <v>10</v>
      </c>
      <c r="G7" s="1" t="s">
        <v>55</v>
      </c>
      <c r="H7" t="s">
        <v>40</v>
      </c>
      <c r="I7" t="s">
        <v>58</v>
      </c>
      <c r="J7" t="s">
        <v>41</v>
      </c>
      <c r="K7" t="s">
        <v>39</v>
      </c>
      <c r="L7">
        <v>7</v>
      </c>
      <c r="M7">
        <v>50000000</v>
      </c>
      <c r="N7">
        <v>200000000</v>
      </c>
      <c r="O7">
        <v>3</v>
      </c>
    </row>
    <row r="8" spans="1:15" x14ac:dyDescent="0.2">
      <c r="A8">
        <v>4</v>
      </c>
      <c r="B8">
        <v>1</v>
      </c>
      <c r="C8" t="s">
        <v>44</v>
      </c>
      <c r="D8" t="s">
        <v>51</v>
      </c>
      <c r="E8">
        <v>1.5</v>
      </c>
      <c r="F8">
        <v>3</v>
      </c>
      <c r="G8" s="1" t="s">
        <v>55</v>
      </c>
      <c r="H8" t="s">
        <v>40</v>
      </c>
      <c r="I8" t="s">
        <v>58</v>
      </c>
      <c r="J8" t="s">
        <v>260</v>
      </c>
      <c r="K8" t="s">
        <v>39</v>
      </c>
      <c r="L8">
        <v>10</v>
      </c>
      <c r="M8">
        <v>12000000</v>
      </c>
      <c r="N8">
        <v>240000</v>
      </c>
      <c r="O8">
        <v>5</v>
      </c>
    </row>
    <row r="9" spans="1:15" x14ac:dyDescent="0.2">
      <c r="A9">
        <v>5</v>
      </c>
      <c r="B9">
        <v>1</v>
      </c>
      <c r="C9" t="s">
        <v>45</v>
      </c>
      <c r="D9" t="s">
        <v>52</v>
      </c>
      <c r="E9">
        <v>1.5</v>
      </c>
      <c r="F9">
        <v>4</v>
      </c>
      <c r="G9" s="1" t="s">
        <v>55</v>
      </c>
      <c r="H9" t="s">
        <v>40</v>
      </c>
      <c r="I9" t="s">
        <v>58</v>
      </c>
      <c r="J9" t="s">
        <v>59</v>
      </c>
      <c r="K9" t="s">
        <v>39</v>
      </c>
      <c r="L9">
        <v>10</v>
      </c>
      <c r="M9">
        <v>100000</v>
      </c>
      <c r="N9">
        <v>80000</v>
      </c>
      <c r="O9">
        <v>2</v>
      </c>
    </row>
    <row r="10" spans="1:15" x14ac:dyDescent="0.2">
      <c r="A10">
        <v>6</v>
      </c>
      <c r="B10">
        <v>1</v>
      </c>
      <c r="C10" t="s">
        <v>46</v>
      </c>
      <c r="D10" t="s">
        <v>53</v>
      </c>
      <c r="E10">
        <v>3</v>
      </c>
      <c r="F10">
        <v>6</v>
      </c>
      <c r="G10" s="1" t="s">
        <v>55</v>
      </c>
      <c r="H10" t="s">
        <v>40</v>
      </c>
      <c r="I10" t="s">
        <v>58</v>
      </c>
      <c r="J10" t="s">
        <v>60</v>
      </c>
      <c r="K10" t="s">
        <v>39</v>
      </c>
      <c r="L10">
        <v>10</v>
      </c>
      <c r="M10">
        <v>1800000</v>
      </c>
      <c r="N10">
        <v>10000000</v>
      </c>
      <c r="O10">
        <v>6</v>
      </c>
    </row>
    <row r="11" spans="1:15" x14ac:dyDescent="0.2">
      <c r="A11">
        <v>7</v>
      </c>
      <c r="B11">
        <v>1</v>
      </c>
      <c r="C11" t="s">
        <v>47</v>
      </c>
      <c r="D11" t="s">
        <v>62</v>
      </c>
      <c r="E11">
        <v>3</v>
      </c>
      <c r="F11">
        <v>8</v>
      </c>
      <c r="G11" s="1" t="s">
        <v>55</v>
      </c>
      <c r="H11" t="s">
        <v>40</v>
      </c>
      <c r="I11" t="s">
        <v>58</v>
      </c>
      <c r="J11" t="s">
        <v>41</v>
      </c>
      <c r="K11" t="s">
        <v>39</v>
      </c>
      <c r="L11">
        <v>10</v>
      </c>
      <c r="M11">
        <v>640000</v>
      </c>
      <c r="N11">
        <v>540000</v>
      </c>
      <c r="O11">
        <v>7</v>
      </c>
    </row>
    <row r="12" spans="1:15" x14ac:dyDescent="0.2">
      <c r="A12">
        <v>8</v>
      </c>
      <c r="B12">
        <v>1</v>
      </c>
      <c r="C12" t="s">
        <v>48</v>
      </c>
      <c r="D12" t="s">
        <v>54</v>
      </c>
      <c r="E12">
        <v>1</v>
      </c>
      <c r="F12">
        <v>1.5</v>
      </c>
      <c r="G12" t="s">
        <v>56</v>
      </c>
      <c r="H12" t="s">
        <v>40</v>
      </c>
      <c r="I12" t="s">
        <v>57</v>
      </c>
      <c r="J12" t="s">
        <v>61</v>
      </c>
      <c r="K12" t="s">
        <v>39</v>
      </c>
      <c r="L12">
        <v>10</v>
      </c>
      <c r="M12">
        <v>1600000</v>
      </c>
      <c r="N12">
        <v>40000</v>
      </c>
      <c r="O12">
        <v>8</v>
      </c>
    </row>
    <row r="13" spans="1:15" x14ac:dyDescent="0.2">
      <c r="A13">
        <v>9</v>
      </c>
      <c r="B13">
        <v>2</v>
      </c>
      <c r="C13" t="s">
        <v>35</v>
      </c>
      <c r="D13" t="s">
        <v>36</v>
      </c>
      <c r="E13">
        <v>10</v>
      </c>
      <c r="F13">
        <v>10</v>
      </c>
      <c r="G13" s="1" t="s">
        <v>37</v>
      </c>
      <c r="H13" t="s">
        <v>40</v>
      </c>
      <c r="I13" t="s">
        <v>38</v>
      </c>
      <c r="J13" t="s">
        <v>41</v>
      </c>
      <c r="K13" t="s">
        <v>39</v>
      </c>
      <c r="L13">
        <v>24</v>
      </c>
      <c r="M13">
        <v>500000</v>
      </c>
      <c r="N13">
        <v>1000000</v>
      </c>
      <c r="O13">
        <v>1</v>
      </c>
    </row>
    <row r="14" spans="1:15" x14ac:dyDescent="0.2">
      <c r="A14">
        <v>10</v>
      </c>
      <c r="B14">
        <v>2</v>
      </c>
      <c r="C14" t="s">
        <v>42</v>
      </c>
      <c r="D14" t="s">
        <v>49</v>
      </c>
      <c r="E14">
        <v>5</v>
      </c>
      <c r="F14">
        <v>10</v>
      </c>
      <c r="G14" s="1" t="s">
        <v>55</v>
      </c>
      <c r="H14" t="s">
        <v>40</v>
      </c>
      <c r="I14" t="s">
        <v>58</v>
      </c>
      <c r="J14" t="s">
        <v>41</v>
      </c>
      <c r="K14" t="s">
        <v>39</v>
      </c>
      <c r="L14">
        <v>8</v>
      </c>
      <c r="M14">
        <v>50000000</v>
      </c>
      <c r="N14">
        <v>200000000</v>
      </c>
      <c r="O14">
        <v>4</v>
      </c>
    </row>
    <row r="15" spans="1:15" x14ac:dyDescent="0.2">
      <c r="A15">
        <v>11</v>
      </c>
      <c r="B15">
        <v>2</v>
      </c>
      <c r="C15" t="s">
        <v>43</v>
      </c>
      <c r="D15" t="s">
        <v>50</v>
      </c>
      <c r="E15">
        <v>5</v>
      </c>
      <c r="F15">
        <v>10</v>
      </c>
      <c r="G15" s="1" t="s">
        <v>55</v>
      </c>
      <c r="H15" t="s">
        <v>40</v>
      </c>
      <c r="I15" t="s">
        <v>58</v>
      </c>
      <c r="J15" t="s">
        <v>41</v>
      </c>
      <c r="K15" t="s">
        <v>39</v>
      </c>
      <c r="L15">
        <v>8</v>
      </c>
      <c r="M15">
        <v>50000000</v>
      </c>
      <c r="N15">
        <v>200000000</v>
      </c>
      <c r="O15">
        <v>3</v>
      </c>
    </row>
    <row r="16" spans="1:15" x14ac:dyDescent="0.2">
      <c r="A16">
        <v>12</v>
      </c>
      <c r="B16">
        <v>2</v>
      </c>
      <c r="C16" t="s">
        <v>44</v>
      </c>
      <c r="D16" t="s">
        <v>51</v>
      </c>
      <c r="E16">
        <v>1.5</v>
      </c>
      <c r="F16">
        <v>3</v>
      </c>
      <c r="G16" s="1" t="s">
        <v>55</v>
      </c>
      <c r="H16" t="s">
        <v>40</v>
      </c>
      <c r="I16" t="s">
        <v>58</v>
      </c>
      <c r="J16" t="s">
        <v>260</v>
      </c>
      <c r="K16" t="s">
        <v>39</v>
      </c>
      <c r="L16">
        <v>20</v>
      </c>
      <c r="M16">
        <v>12000000</v>
      </c>
      <c r="N16">
        <v>240000</v>
      </c>
      <c r="O16">
        <v>5</v>
      </c>
    </row>
    <row r="17" spans="1:15" x14ac:dyDescent="0.2">
      <c r="A17">
        <v>13</v>
      </c>
      <c r="B17">
        <v>2</v>
      </c>
      <c r="C17" t="s">
        <v>45</v>
      </c>
      <c r="D17" t="s">
        <v>52</v>
      </c>
      <c r="E17">
        <v>1.5</v>
      </c>
      <c r="F17">
        <v>4</v>
      </c>
      <c r="G17" s="1" t="s">
        <v>55</v>
      </c>
      <c r="H17" t="s">
        <v>40</v>
      </c>
      <c r="I17" t="s">
        <v>58</v>
      </c>
      <c r="J17" t="s">
        <v>59</v>
      </c>
      <c r="K17" t="s">
        <v>39</v>
      </c>
      <c r="L17">
        <v>20</v>
      </c>
      <c r="M17">
        <v>100000</v>
      </c>
      <c r="N17">
        <v>80000</v>
      </c>
      <c r="O17">
        <v>2</v>
      </c>
    </row>
    <row r="18" spans="1:15" x14ac:dyDescent="0.2">
      <c r="A18">
        <v>14</v>
      </c>
      <c r="B18">
        <v>2</v>
      </c>
      <c r="C18" t="s">
        <v>46</v>
      </c>
      <c r="D18" t="s">
        <v>53</v>
      </c>
      <c r="E18">
        <v>3</v>
      </c>
      <c r="F18">
        <v>6</v>
      </c>
      <c r="G18" s="1" t="s">
        <v>55</v>
      </c>
      <c r="H18" t="s">
        <v>40</v>
      </c>
      <c r="I18" t="s">
        <v>58</v>
      </c>
      <c r="J18" t="s">
        <v>60</v>
      </c>
      <c r="K18" t="s">
        <v>39</v>
      </c>
      <c r="L18">
        <v>0</v>
      </c>
      <c r="M18">
        <v>1800000</v>
      </c>
      <c r="N18">
        <v>10000000</v>
      </c>
      <c r="O18">
        <v>6</v>
      </c>
    </row>
    <row r="19" spans="1:15" x14ac:dyDescent="0.2">
      <c r="A19">
        <v>15</v>
      </c>
      <c r="B19">
        <v>2</v>
      </c>
      <c r="C19" t="s">
        <v>47</v>
      </c>
      <c r="D19" t="s">
        <v>62</v>
      </c>
      <c r="E19">
        <v>3</v>
      </c>
      <c r="F19">
        <v>8</v>
      </c>
      <c r="G19" s="1" t="s">
        <v>55</v>
      </c>
      <c r="H19" t="s">
        <v>40</v>
      </c>
      <c r="I19" t="s">
        <v>58</v>
      </c>
      <c r="J19" t="s">
        <v>41</v>
      </c>
      <c r="K19" t="s">
        <v>39</v>
      </c>
      <c r="L19">
        <v>0</v>
      </c>
      <c r="M19">
        <v>640000</v>
      </c>
      <c r="N19">
        <v>540000</v>
      </c>
      <c r="O19">
        <v>7</v>
      </c>
    </row>
    <row r="20" spans="1:15" x14ac:dyDescent="0.2">
      <c r="A20">
        <v>16</v>
      </c>
      <c r="B20">
        <v>2</v>
      </c>
      <c r="C20" t="s">
        <v>48</v>
      </c>
      <c r="D20" t="s">
        <v>54</v>
      </c>
      <c r="E20">
        <v>1</v>
      </c>
      <c r="F20">
        <v>1.5</v>
      </c>
      <c r="G20" t="s">
        <v>56</v>
      </c>
      <c r="H20" t="s">
        <v>40</v>
      </c>
      <c r="I20" t="s">
        <v>57</v>
      </c>
      <c r="J20" t="s">
        <v>61</v>
      </c>
      <c r="K20" t="s">
        <v>39</v>
      </c>
      <c r="L20">
        <v>45</v>
      </c>
      <c r="M20">
        <v>1600000</v>
      </c>
      <c r="N20">
        <v>40000</v>
      </c>
      <c r="O20">
        <v>8</v>
      </c>
    </row>
    <row r="21" spans="1:15" x14ac:dyDescent="0.2">
      <c r="A21">
        <v>17</v>
      </c>
      <c r="B21">
        <v>3</v>
      </c>
      <c r="C21" t="s">
        <v>35</v>
      </c>
      <c r="D21" t="s">
        <v>36</v>
      </c>
      <c r="E21">
        <v>10</v>
      </c>
      <c r="F21">
        <v>10</v>
      </c>
      <c r="G21" s="1" t="s">
        <v>37</v>
      </c>
      <c r="H21" t="s">
        <v>40</v>
      </c>
      <c r="I21" t="s">
        <v>38</v>
      </c>
      <c r="J21" t="s">
        <v>41</v>
      </c>
      <c r="K21" t="s">
        <v>39</v>
      </c>
      <c r="L21">
        <v>10</v>
      </c>
      <c r="M21">
        <v>500000</v>
      </c>
      <c r="N21">
        <v>1000000</v>
      </c>
      <c r="O21">
        <v>1</v>
      </c>
    </row>
    <row r="22" spans="1:15" x14ac:dyDescent="0.2">
      <c r="A22">
        <v>18</v>
      </c>
      <c r="B22">
        <v>3</v>
      </c>
      <c r="C22" t="s">
        <v>42</v>
      </c>
      <c r="D22" t="s">
        <v>49</v>
      </c>
      <c r="E22">
        <v>5</v>
      </c>
      <c r="F22">
        <v>10</v>
      </c>
      <c r="G22" s="1" t="s">
        <v>55</v>
      </c>
      <c r="H22" t="s">
        <v>40</v>
      </c>
      <c r="I22" t="s">
        <v>58</v>
      </c>
      <c r="J22" t="s">
        <v>41</v>
      </c>
      <c r="K22" t="s">
        <v>39</v>
      </c>
      <c r="L22">
        <v>7</v>
      </c>
      <c r="M22">
        <v>50000000</v>
      </c>
      <c r="N22">
        <v>200000000</v>
      </c>
      <c r="O22">
        <v>4</v>
      </c>
    </row>
    <row r="23" spans="1:15" x14ac:dyDescent="0.2">
      <c r="A23">
        <v>19</v>
      </c>
      <c r="B23">
        <v>3</v>
      </c>
      <c r="C23" t="s">
        <v>43</v>
      </c>
      <c r="D23" t="s">
        <v>50</v>
      </c>
      <c r="E23">
        <v>5</v>
      </c>
      <c r="F23">
        <v>10</v>
      </c>
      <c r="G23" s="1" t="s">
        <v>55</v>
      </c>
      <c r="H23" t="s">
        <v>40</v>
      </c>
      <c r="I23" t="s">
        <v>58</v>
      </c>
      <c r="J23" t="s">
        <v>41</v>
      </c>
      <c r="K23" t="s">
        <v>39</v>
      </c>
      <c r="L23">
        <v>8</v>
      </c>
      <c r="M23">
        <v>50000000</v>
      </c>
      <c r="N23">
        <v>200000000</v>
      </c>
      <c r="O23">
        <v>3</v>
      </c>
    </row>
    <row r="24" spans="1:15" x14ac:dyDescent="0.2">
      <c r="A24">
        <v>20</v>
      </c>
      <c r="B24">
        <v>3</v>
      </c>
      <c r="C24" t="s">
        <v>44</v>
      </c>
      <c r="D24" t="s">
        <v>51</v>
      </c>
      <c r="E24">
        <v>1.5</v>
      </c>
      <c r="F24">
        <v>3</v>
      </c>
      <c r="G24" s="1" t="s">
        <v>55</v>
      </c>
      <c r="H24" t="s">
        <v>40</v>
      </c>
      <c r="I24" t="s">
        <v>58</v>
      </c>
      <c r="J24" t="s">
        <v>260</v>
      </c>
      <c r="K24" t="s">
        <v>39</v>
      </c>
      <c r="L24">
        <v>10</v>
      </c>
      <c r="M24">
        <v>12000000</v>
      </c>
      <c r="N24">
        <v>240000</v>
      </c>
      <c r="O24">
        <v>5</v>
      </c>
    </row>
    <row r="25" spans="1:15" x14ac:dyDescent="0.2">
      <c r="A25">
        <v>21</v>
      </c>
      <c r="B25">
        <v>3</v>
      </c>
      <c r="C25" t="s">
        <v>45</v>
      </c>
      <c r="D25" t="s">
        <v>52</v>
      </c>
      <c r="E25">
        <v>1.5</v>
      </c>
      <c r="F25">
        <v>4</v>
      </c>
      <c r="G25" s="1" t="s">
        <v>55</v>
      </c>
      <c r="H25" t="s">
        <v>40</v>
      </c>
      <c r="I25" t="s">
        <v>58</v>
      </c>
      <c r="J25" t="s">
        <v>59</v>
      </c>
      <c r="K25" t="s">
        <v>39</v>
      </c>
      <c r="L25">
        <v>10</v>
      </c>
      <c r="M25">
        <v>100000</v>
      </c>
      <c r="N25">
        <v>80000</v>
      </c>
      <c r="O25">
        <v>2</v>
      </c>
    </row>
    <row r="26" spans="1:15" x14ac:dyDescent="0.2">
      <c r="A26">
        <v>22</v>
      </c>
      <c r="B26">
        <v>3</v>
      </c>
      <c r="C26" t="s">
        <v>46</v>
      </c>
      <c r="D26" t="s">
        <v>53</v>
      </c>
      <c r="E26">
        <v>3</v>
      </c>
      <c r="F26">
        <v>6</v>
      </c>
      <c r="G26" s="1" t="s">
        <v>55</v>
      </c>
      <c r="H26" t="s">
        <v>40</v>
      </c>
      <c r="I26" t="s">
        <v>58</v>
      </c>
      <c r="J26" t="s">
        <v>60</v>
      </c>
      <c r="K26" t="s">
        <v>39</v>
      </c>
      <c r="L26">
        <v>10</v>
      </c>
      <c r="M26">
        <v>1800000</v>
      </c>
      <c r="N26">
        <v>10000000</v>
      </c>
      <c r="O26">
        <v>6</v>
      </c>
    </row>
    <row r="27" spans="1:15" x14ac:dyDescent="0.2">
      <c r="A27">
        <v>23</v>
      </c>
      <c r="B27">
        <v>3</v>
      </c>
      <c r="C27" t="s">
        <v>47</v>
      </c>
      <c r="D27" t="s">
        <v>62</v>
      </c>
      <c r="E27">
        <v>3</v>
      </c>
      <c r="F27">
        <v>8</v>
      </c>
      <c r="G27" s="1" t="s">
        <v>55</v>
      </c>
      <c r="H27" t="s">
        <v>40</v>
      </c>
      <c r="I27" t="s">
        <v>58</v>
      </c>
      <c r="J27" t="s">
        <v>41</v>
      </c>
      <c r="K27" t="s">
        <v>39</v>
      </c>
      <c r="L27">
        <v>10</v>
      </c>
      <c r="M27">
        <v>640000</v>
      </c>
      <c r="N27">
        <v>540000</v>
      </c>
      <c r="O27">
        <v>7</v>
      </c>
    </row>
    <row r="28" spans="1:15" x14ac:dyDescent="0.2">
      <c r="A28">
        <v>24</v>
      </c>
      <c r="B28">
        <v>3</v>
      </c>
      <c r="C28" t="s">
        <v>48</v>
      </c>
      <c r="D28" t="s">
        <v>54</v>
      </c>
      <c r="E28">
        <v>1</v>
      </c>
      <c r="F28">
        <v>1.5</v>
      </c>
      <c r="G28" t="s">
        <v>56</v>
      </c>
      <c r="H28" t="s">
        <v>40</v>
      </c>
      <c r="I28" t="s">
        <v>57</v>
      </c>
      <c r="J28" t="s">
        <v>61</v>
      </c>
      <c r="K28" t="s">
        <v>39</v>
      </c>
      <c r="L28">
        <v>10</v>
      </c>
      <c r="M28">
        <v>1600000</v>
      </c>
      <c r="N28">
        <v>40000</v>
      </c>
      <c r="O28">
        <v>8</v>
      </c>
    </row>
    <row r="29" spans="1:15" x14ac:dyDescent="0.2">
      <c r="A29">
        <v>25</v>
      </c>
      <c r="B29">
        <v>4</v>
      </c>
      <c r="C29" t="s">
        <v>35</v>
      </c>
      <c r="D29" t="s">
        <v>36</v>
      </c>
      <c r="E29">
        <v>10</v>
      </c>
      <c r="F29">
        <v>10</v>
      </c>
      <c r="G29" s="1" t="s">
        <v>37</v>
      </c>
      <c r="H29" t="s">
        <v>40</v>
      </c>
      <c r="I29" t="s">
        <v>38</v>
      </c>
      <c r="J29" t="s">
        <v>41</v>
      </c>
      <c r="K29" t="s">
        <v>39</v>
      </c>
      <c r="L29">
        <v>24</v>
      </c>
      <c r="M29">
        <v>500000</v>
      </c>
      <c r="N29">
        <v>1000000</v>
      </c>
      <c r="O29">
        <v>1</v>
      </c>
    </row>
    <row r="30" spans="1:15" x14ac:dyDescent="0.2">
      <c r="A30">
        <v>26</v>
      </c>
      <c r="B30">
        <v>4</v>
      </c>
      <c r="C30" t="s">
        <v>42</v>
      </c>
      <c r="D30" t="s">
        <v>49</v>
      </c>
      <c r="E30">
        <v>5</v>
      </c>
      <c r="F30">
        <v>10</v>
      </c>
      <c r="G30" s="1" t="s">
        <v>55</v>
      </c>
      <c r="H30" t="s">
        <v>40</v>
      </c>
      <c r="I30" t="s">
        <v>58</v>
      </c>
      <c r="J30" t="s">
        <v>41</v>
      </c>
      <c r="K30" t="s">
        <v>39</v>
      </c>
      <c r="L30">
        <v>8</v>
      </c>
      <c r="M30">
        <v>50000000</v>
      </c>
      <c r="N30">
        <v>200000000</v>
      </c>
      <c r="O30">
        <v>4</v>
      </c>
    </row>
    <row r="31" spans="1:15" x14ac:dyDescent="0.2">
      <c r="A31">
        <v>27</v>
      </c>
      <c r="B31">
        <v>4</v>
      </c>
      <c r="C31" t="s">
        <v>43</v>
      </c>
      <c r="D31" t="s">
        <v>50</v>
      </c>
      <c r="E31">
        <v>5</v>
      </c>
      <c r="F31">
        <v>10</v>
      </c>
      <c r="G31" s="1" t="s">
        <v>55</v>
      </c>
      <c r="H31" t="s">
        <v>40</v>
      </c>
      <c r="I31" t="s">
        <v>58</v>
      </c>
      <c r="J31" t="s">
        <v>41</v>
      </c>
      <c r="K31" t="s">
        <v>39</v>
      </c>
      <c r="L31">
        <v>8</v>
      </c>
      <c r="M31">
        <v>50000000</v>
      </c>
      <c r="N31">
        <v>200000000</v>
      </c>
      <c r="O31">
        <v>3</v>
      </c>
    </row>
    <row r="32" spans="1:15" x14ac:dyDescent="0.2">
      <c r="A32">
        <v>28</v>
      </c>
      <c r="B32">
        <v>4</v>
      </c>
      <c r="C32" t="s">
        <v>44</v>
      </c>
      <c r="D32" t="s">
        <v>51</v>
      </c>
      <c r="E32">
        <v>1.5</v>
      </c>
      <c r="F32">
        <v>3</v>
      </c>
      <c r="G32" s="1" t="s">
        <v>55</v>
      </c>
      <c r="H32" t="s">
        <v>40</v>
      </c>
      <c r="I32" t="s">
        <v>58</v>
      </c>
      <c r="J32" t="s">
        <v>260</v>
      </c>
      <c r="K32" t="s">
        <v>39</v>
      </c>
      <c r="L32">
        <v>20</v>
      </c>
      <c r="M32">
        <v>12000000</v>
      </c>
      <c r="N32">
        <v>240000</v>
      </c>
      <c r="O32">
        <v>5</v>
      </c>
    </row>
    <row r="33" spans="1:15" x14ac:dyDescent="0.2">
      <c r="A33">
        <v>29</v>
      </c>
      <c r="B33">
        <v>4</v>
      </c>
      <c r="C33" t="s">
        <v>45</v>
      </c>
      <c r="D33" t="s">
        <v>52</v>
      </c>
      <c r="E33">
        <v>1.5</v>
      </c>
      <c r="F33">
        <v>4</v>
      </c>
      <c r="G33" s="1" t="s">
        <v>55</v>
      </c>
      <c r="H33" t="s">
        <v>40</v>
      </c>
      <c r="I33" t="s">
        <v>58</v>
      </c>
      <c r="J33" t="s">
        <v>59</v>
      </c>
      <c r="K33" t="s">
        <v>39</v>
      </c>
      <c r="L33">
        <v>20</v>
      </c>
      <c r="M33">
        <v>100000</v>
      </c>
      <c r="N33">
        <v>80000</v>
      </c>
      <c r="O33">
        <v>2</v>
      </c>
    </row>
    <row r="34" spans="1:15" x14ac:dyDescent="0.2">
      <c r="A34">
        <v>30</v>
      </c>
      <c r="B34">
        <v>4</v>
      </c>
      <c r="C34" t="s">
        <v>46</v>
      </c>
      <c r="D34" t="s">
        <v>53</v>
      </c>
      <c r="E34">
        <v>3</v>
      </c>
      <c r="F34">
        <v>6</v>
      </c>
      <c r="G34" s="1" t="s">
        <v>55</v>
      </c>
      <c r="H34" t="s">
        <v>40</v>
      </c>
      <c r="I34" t="s">
        <v>58</v>
      </c>
      <c r="J34" t="s">
        <v>60</v>
      </c>
      <c r="K34" t="s">
        <v>39</v>
      </c>
      <c r="L34">
        <v>0</v>
      </c>
      <c r="M34">
        <v>1800000</v>
      </c>
      <c r="N34">
        <v>10000000</v>
      </c>
      <c r="O34">
        <v>6</v>
      </c>
    </row>
    <row r="35" spans="1:15" x14ac:dyDescent="0.2">
      <c r="A35">
        <v>31</v>
      </c>
      <c r="B35">
        <v>4</v>
      </c>
      <c r="C35" t="s">
        <v>47</v>
      </c>
      <c r="D35" t="s">
        <v>62</v>
      </c>
      <c r="E35">
        <v>3</v>
      </c>
      <c r="F35">
        <v>8</v>
      </c>
      <c r="G35" s="1" t="s">
        <v>55</v>
      </c>
      <c r="H35" t="s">
        <v>40</v>
      </c>
      <c r="I35" t="s">
        <v>58</v>
      </c>
      <c r="J35" t="s">
        <v>41</v>
      </c>
      <c r="K35" t="s">
        <v>39</v>
      </c>
      <c r="L35">
        <v>0</v>
      </c>
      <c r="M35">
        <v>640000</v>
      </c>
      <c r="N35">
        <v>540000</v>
      </c>
      <c r="O35">
        <v>7</v>
      </c>
    </row>
    <row r="36" spans="1:15" x14ac:dyDescent="0.2">
      <c r="A36">
        <v>32</v>
      </c>
      <c r="B36">
        <v>4</v>
      </c>
      <c r="C36" t="s">
        <v>48</v>
      </c>
      <c r="D36" t="s">
        <v>54</v>
      </c>
      <c r="E36">
        <v>1</v>
      </c>
      <c r="F36">
        <v>1.5</v>
      </c>
      <c r="G36" t="s">
        <v>56</v>
      </c>
      <c r="H36" t="s">
        <v>40</v>
      </c>
      <c r="I36" t="s">
        <v>57</v>
      </c>
      <c r="J36" t="s">
        <v>61</v>
      </c>
      <c r="K36" t="s">
        <v>39</v>
      </c>
      <c r="L36">
        <v>45</v>
      </c>
      <c r="M36">
        <v>1600000</v>
      </c>
      <c r="N36">
        <v>40000</v>
      </c>
      <c r="O36">
        <v>8</v>
      </c>
    </row>
    <row r="37" spans="1:15" x14ac:dyDescent="0.2">
      <c r="A37">
        <v>33</v>
      </c>
      <c r="B37">
        <v>5</v>
      </c>
      <c r="C37" t="s">
        <v>35</v>
      </c>
      <c r="D37" t="s">
        <v>36</v>
      </c>
      <c r="E37">
        <v>10</v>
      </c>
      <c r="F37">
        <v>10</v>
      </c>
      <c r="G37" s="1" t="s">
        <v>37</v>
      </c>
      <c r="H37" t="s">
        <v>40</v>
      </c>
      <c r="I37" t="s">
        <v>38</v>
      </c>
      <c r="J37" t="s">
        <v>41</v>
      </c>
      <c r="K37" t="s">
        <v>39</v>
      </c>
      <c r="L37">
        <v>24</v>
      </c>
      <c r="M37">
        <v>500000</v>
      </c>
      <c r="N37">
        <v>1000000</v>
      </c>
      <c r="O37">
        <v>1</v>
      </c>
    </row>
    <row r="38" spans="1:15" x14ac:dyDescent="0.2">
      <c r="A38">
        <v>34</v>
      </c>
      <c r="B38">
        <v>5</v>
      </c>
      <c r="C38" t="s">
        <v>42</v>
      </c>
      <c r="D38" t="s">
        <v>49</v>
      </c>
      <c r="E38">
        <v>5</v>
      </c>
      <c r="F38">
        <v>10</v>
      </c>
      <c r="G38" s="1" t="s">
        <v>55</v>
      </c>
      <c r="H38" t="s">
        <v>40</v>
      </c>
      <c r="I38" t="s">
        <v>58</v>
      </c>
      <c r="J38" t="s">
        <v>41</v>
      </c>
      <c r="K38" t="s">
        <v>39</v>
      </c>
      <c r="L38">
        <v>8</v>
      </c>
      <c r="M38">
        <v>50000000</v>
      </c>
      <c r="N38">
        <v>200000000</v>
      </c>
      <c r="O38">
        <v>4</v>
      </c>
    </row>
    <row r="39" spans="1:15" x14ac:dyDescent="0.2">
      <c r="A39">
        <v>35</v>
      </c>
      <c r="B39">
        <v>5</v>
      </c>
      <c r="C39" t="s">
        <v>43</v>
      </c>
      <c r="D39" t="s">
        <v>50</v>
      </c>
      <c r="E39">
        <v>5</v>
      </c>
      <c r="F39">
        <v>10</v>
      </c>
      <c r="G39" s="1" t="s">
        <v>55</v>
      </c>
      <c r="H39" t="s">
        <v>40</v>
      </c>
      <c r="I39" t="s">
        <v>58</v>
      </c>
      <c r="J39" t="s">
        <v>41</v>
      </c>
      <c r="K39" t="s">
        <v>39</v>
      </c>
      <c r="L39">
        <v>8</v>
      </c>
      <c r="M39">
        <v>50000000</v>
      </c>
      <c r="N39">
        <v>200000000</v>
      </c>
      <c r="O39">
        <v>3</v>
      </c>
    </row>
    <row r="40" spans="1:15" x14ac:dyDescent="0.2">
      <c r="A40">
        <v>36</v>
      </c>
      <c r="B40">
        <v>5</v>
      </c>
      <c r="C40" t="s">
        <v>44</v>
      </c>
      <c r="D40" t="s">
        <v>51</v>
      </c>
      <c r="E40">
        <v>1.5</v>
      </c>
      <c r="F40">
        <v>3</v>
      </c>
      <c r="G40" s="1" t="s">
        <v>55</v>
      </c>
      <c r="H40" t="s">
        <v>40</v>
      </c>
      <c r="I40" t="s">
        <v>58</v>
      </c>
      <c r="J40" t="s">
        <v>260</v>
      </c>
      <c r="K40" t="s">
        <v>39</v>
      </c>
      <c r="L40">
        <v>20</v>
      </c>
      <c r="M40">
        <v>12000000</v>
      </c>
      <c r="N40">
        <v>240000</v>
      </c>
      <c r="O40">
        <v>5</v>
      </c>
    </row>
    <row r="41" spans="1:15" x14ac:dyDescent="0.2">
      <c r="A41">
        <v>37</v>
      </c>
      <c r="B41">
        <v>5</v>
      </c>
      <c r="C41" t="s">
        <v>45</v>
      </c>
      <c r="D41" t="s">
        <v>52</v>
      </c>
      <c r="E41">
        <v>1.5</v>
      </c>
      <c r="F41">
        <v>4</v>
      </c>
      <c r="G41" s="1" t="s">
        <v>55</v>
      </c>
      <c r="H41" t="s">
        <v>40</v>
      </c>
      <c r="I41" t="s">
        <v>58</v>
      </c>
      <c r="J41" t="s">
        <v>59</v>
      </c>
      <c r="K41" t="s">
        <v>39</v>
      </c>
      <c r="L41">
        <v>20</v>
      </c>
      <c r="M41">
        <v>100000</v>
      </c>
      <c r="N41">
        <v>80000</v>
      </c>
      <c r="O41">
        <v>2</v>
      </c>
    </row>
    <row r="42" spans="1:15" x14ac:dyDescent="0.2">
      <c r="A42">
        <v>38</v>
      </c>
      <c r="B42">
        <v>5</v>
      </c>
      <c r="C42" t="s">
        <v>46</v>
      </c>
      <c r="D42" t="s">
        <v>53</v>
      </c>
      <c r="E42">
        <v>3</v>
      </c>
      <c r="F42">
        <v>6</v>
      </c>
      <c r="G42" s="1" t="s">
        <v>55</v>
      </c>
      <c r="H42" t="s">
        <v>40</v>
      </c>
      <c r="I42" t="s">
        <v>58</v>
      </c>
      <c r="J42" t="s">
        <v>60</v>
      </c>
      <c r="K42" t="s">
        <v>39</v>
      </c>
      <c r="L42">
        <v>0</v>
      </c>
      <c r="M42">
        <v>1800000</v>
      </c>
      <c r="N42">
        <v>10000000</v>
      </c>
      <c r="O42">
        <v>6</v>
      </c>
    </row>
    <row r="43" spans="1:15" x14ac:dyDescent="0.2">
      <c r="A43">
        <v>39</v>
      </c>
      <c r="B43">
        <v>5</v>
      </c>
      <c r="C43" t="s">
        <v>47</v>
      </c>
      <c r="D43" t="s">
        <v>62</v>
      </c>
      <c r="E43">
        <v>3</v>
      </c>
      <c r="F43">
        <v>8</v>
      </c>
      <c r="G43" s="1" t="s">
        <v>55</v>
      </c>
      <c r="H43" t="s">
        <v>40</v>
      </c>
      <c r="I43" t="s">
        <v>58</v>
      </c>
      <c r="J43" t="s">
        <v>41</v>
      </c>
      <c r="K43" t="s">
        <v>39</v>
      </c>
      <c r="L43">
        <v>0</v>
      </c>
      <c r="M43">
        <v>640000</v>
      </c>
      <c r="N43">
        <v>540000</v>
      </c>
      <c r="O43">
        <v>7</v>
      </c>
    </row>
    <row r="44" spans="1:15" x14ac:dyDescent="0.2">
      <c r="A44">
        <v>40</v>
      </c>
      <c r="B44">
        <v>5</v>
      </c>
      <c r="C44" t="s">
        <v>48</v>
      </c>
      <c r="D44" t="s">
        <v>54</v>
      </c>
      <c r="E44">
        <v>1</v>
      </c>
      <c r="F44">
        <v>1.5</v>
      </c>
      <c r="G44" t="s">
        <v>56</v>
      </c>
      <c r="H44" t="s">
        <v>40</v>
      </c>
      <c r="I44" t="s">
        <v>57</v>
      </c>
      <c r="J44" t="s">
        <v>61</v>
      </c>
      <c r="K44" t="s">
        <v>39</v>
      </c>
      <c r="L44">
        <v>45</v>
      </c>
      <c r="M44">
        <v>1600000</v>
      </c>
      <c r="N44">
        <v>40000</v>
      </c>
      <c r="O44">
        <v>8</v>
      </c>
    </row>
    <row r="45" spans="1:15" x14ac:dyDescent="0.2">
      <c r="A45">
        <v>41</v>
      </c>
      <c r="B45">
        <v>6</v>
      </c>
      <c r="C45" t="s">
        <v>322</v>
      </c>
      <c r="D45" t="s">
        <v>323</v>
      </c>
      <c r="E45">
        <v>1E-3</v>
      </c>
      <c r="F45">
        <v>1E-3</v>
      </c>
      <c r="G45" t="s">
        <v>56</v>
      </c>
      <c r="H45" t="s">
        <v>324</v>
      </c>
      <c r="I45" t="s">
        <v>57</v>
      </c>
      <c r="J45" t="s">
        <v>325</v>
      </c>
      <c r="K45" t="s">
        <v>39</v>
      </c>
      <c r="L45">
        <v>15</v>
      </c>
      <c r="M45">
        <v>0</v>
      </c>
      <c r="N45">
        <v>0</v>
      </c>
      <c r="O45">
        <v>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9"/>
  <sheetViews>
    <sheetView tabSelected="1" workbookViewId="0">
      <selection activeCell="F27" sqref="F27"/>
    </sheetView>
  </sheetViews>
  <sheetFormatPr defaultRowHeight="14.25" x14ac:dyDescent="0.2"/>
  <cols>
    <col min="2" max="2" width="36.125" customWidth="1"/>
    <col min="6" max="6" width="68.875" customWidth="1"/>
    <col min="12" max="12" width="10.5" bestFit="1" customWidth="1"/>
  </cols>
  <sheetData>
    <row r="1" spans="1:7" x14ac:dyDescent="0.2">
      <c r="A1" t="s">
        <v>22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69</v>
      </c>
    </row>
    <row r="2" spans="1:7" x14ac:dyDescent="0.2">
      <c r="A2" t="s">
        <v>2</v>
      </c>
      <c r="B2" t="s">
        <v>70</v>
      </c>
      <c r="C2" t="s">
        <v>71</v>
      </c>
      <c r="D2" t="s">
        <v>72</v>
      </c>
      <c r="E2" t="s">
        <v>73</v>
      </c>
      <c r="F2" t="s">
        <v>259</v>
      </c>
      <c r="G2" t="s">
        <v>75</v>
      </c>
    </row>
    <row r="3" spans="1:7" x14ac:dyDescent="0.2">
      <c r="A3" t="s">
        <v>16</v>
      </c>
      <c r="B3" t="s">
        <v>76</v>
      </c>
      <c r="C3" t="s">
        <v>18</v>
      </c>
      <c r="D3" t="s">
        <v>16</v>
      </c>
      <c r="E3" t="s">
        <v>16</v>
      </c>
      <c r="F3" t="s">
        <v>68</v>
      </c>
      <c r="G3" t="s">
        <v>20</v>
      </c>
    </row>
    <row r="4" spans="1:7" x14ac:dyDescent="0.2">
      <c r="A4" t="s">
        <v>77</v>
      </c>
    </row>
    <row r="5" spans="1:7" x14ac:dyDescent="0.2">
      <c r="A5">
        <v>1</v>
      </c>
      <c r="B5" t="s">
        <v>238</v>
      </c>
      <c r="C5">
        <v>25</v>
      </c>
      <c r="D5">
        <v>5</v>
      </c>
      <c r="E5">
        <v>10</v>
      </c>
      <c r="F5" t="s">
        <v>327</v>
      </c>
      <c r="G5" t="s">
        <v>254</v>
      </c>
    </row>
    <row r="6" spans="1:7" x14ac:dyDescent="0.2">
      <c r="A6">
        <v>2</v>
      </c>
      <c r="B6" t="s">
        <v>239</v>
      </c>
      <c r="C6">
        <v>13</v>
      </c>
      <c r="D6">
        <v>3</v>
      </c>
      <c r="E6">
        <v>4</v>
      </c>
      <c r="F6" t="s">
        <v>328</v>
      </c>
      <c r="G6" t="s">
        <v>255</v>
      </c>
    </row>
    <row r="7" spans="1:7" x14ac:dyDescent="0.2">
      <c r="A7">
        <v>3</v>
      </c>
      <c r="B7" t="s">
        <v>240</v>
      </c>
      <c r="C7">
        <v>25</v>
      </c>
      <c r="D7">
        <v>3</v>
      </c>
      <c r="E7">
        <v>4</v>
      </c>
      <c r="F7" t="s">
        <v>329</v>
      </c>
      <c r="G7" t="s">
        <v>256</v>
      </c>
    </row>
    <row r="8" spans="1:7" x14ac:dyDescent="0.2">
      <c r="A8">
        <v>4</v>
      </c>
      <c r="B8" t="s">
        <v>241</v>
      </c>
      <c r="C8">
        <v>30</v>
      </c>
      <c r="D8">
        <v>4</v>
      </c>
      <c r="E8">
        <v>8</v>
      </c>
      <c r="F8" t="s">
        <v>330</v>
      </c>
      <c r="G8" t="s">
        <v>257</v>
      </c>
    </row>
    <row r="9" spans="1:7" x14ac:dyDescent="0.2">
      <c r="A9">
        <v>5</v>
      </c>
      <c r="B9" t="s">
        <v>242</v>
      </c>
      <c r="C9">
        <v>25</v>
      </c>
      <c r="D9">
        <v>3</v>
      </c>
      <c r="E9">
        <v>6</v>
      </c>
      <c r="F9" t="s">
        <v>331</v>
      </c>
      <c r="G9" t="s">
        <v>258</v>
      </c>
    </row>
    <row r="10" spans="1:7" x14ac:dyDescent="0.2">
      <c r="A10">
        <v>6</v>
      </c>
      <c r="B10" t="s">
        <v>312</v>
      </c>
      <c r="C10">
        <v>1</v>
      </c>
      <c r="D10">
        <v>1</v>
      </c>
      <c r="E10">
        <v>1</v>
      </c>
      <c r="F10" t="s">
        <v>343</v>
      </c>
      <c r="G10" t="s">
        <v>326</v>
      </c>
    </row>
    <row r="11" spans="1:7" x14ac:dyDescent="0.2">
      <c r="A11">
        <v>7</v>
      </c>
      <c r="B11" t="s">
        <v>313</v>
      </c>
      <c r="C11">
        <v>1</v>
      </c>
      <c r="D11">
        <v>1</v>
      </c>
      <c r="E11">
        <v>1</v>
      </c>
      <c r="F11" t="s">
        <v>344</v>
      </c>
      <c r="G11" t="s">
        <v>326</v>
      </c>
    </row>
    <row r="12" spans="1:7" x14ac:dyDescent="0.2">
      <c r="A12">
        <v>8</v>
      </c>
      <c r="B12" t="s">
        <v>314</v>
      </c>
      <c r="C12">
        <v>1</v>
      </c>
      <c r="D12">
        <v>1</v>
      </c>
      <c r="E12">
        <v>1</v>
      </c>
      <c r="F12" t="s">
        <v>345</v>
      </c>
      <c r="G12" t="s">
        <v>326</v>
      </c>
    </row>
    <row r="13" spans="1:7" x14ac:dyDescent="0.2">
      <c r="A13">
        <v>9</v>
      </c>
      <c r="B13" t="s">
        <v>315</v>
      </c>
      <c r="C13">
        <v>1</v>
      </c>
      <c r="D13">
        <v>1</v>
      </c>
      <c r="E13">
        <v>1</v>
      </c>
      <c r="F13" t="s">
        <v>346</v>
      </c>
      <c r="G13" t="s">
        <v>326</v>
      </c>
    </row>
    <row r="14" spans="1:7" x14ac:dyDescent="0.2">
      <c r="A14">
        <v>10</v>
      </c>
      <c r="B14" t="s">
        <v>316</v>
      </c>
      <c r="C14">
        <v>1</v>
      </c>
      <c r="D14">
        <v>1</v>
      </c>
      <c r="E14">
        <v>1</v>
      </c>
      <c r="F14" t="s">
        <v>347</v>
      </c>
      <c r="G14" t="s">
        <v>326</v>
      </c>
    </row>
    <row r="15" spans="1:7" x14ac:dyDescent="0.2">
      <c r="A15">
        <v>11</v>
      </c>
      <c r="B15" t="s">
        <v>317</v>
      </c>
      <c r="C15">
        <v>1</v>
      </c>
      <c r="D15">
        <v>1</v>
      </c>
      <c r="E15">
        <v>1</v>
      </c>
      <c r="F15" t="s">
        <v>348</v>
      </c>
      <c r="G15" t="s">
        <v>326</v>
      </c>
    </row>
    <row r="16" spans="1:7" x14ac:dyDescent="0.2">
      <c r="A16">
        <v>12</v>
      </c>
      <c r="B16" t="s">
        <v>318</v>
      </c>
      <c r="C16">
        <v>1</v>
      </c>
      <c r="D16">
        <v>1</v>
      </c>
      <c r="E16">
        <v>1</v>
      </c>
      <c r="F16" t="s">
        <v>349</v>
      </c>
      <c r="G16" t="s">
        <v>326</v>
      </c>
    </row>
    <row r="17" spans="1:7" x14ac:dyDescent="0.2">
      <c r="A17">
        <v>13</v>
      </c>
      <c r="B17" t="s">
        <v>319</v>
      </c>
      <c r="C17">
        <v>1</v>
      </c>
      <c r="D17">
        <v>1</v>
      </c>
      <c r="E17">
        <v>1</v>
      </c>
      <c r="F17" t="s">
        <v>350</v>
      </c>
      <c r="G17" t="s">
        <v>326</v>
      </c>
    </row>
    <row r="18" spans="1:7" x14ac:dyDescent="0.2">
      <c r="A18">
        <v>14</v>
      </c>
      <c r="B18" t="s">
        <v>320</v>
      </c>
      <c r="C18">
        <v>1</v>
      </c>
      <c r="D18">
        <v>1</v>
      </c>
      <c r="E18">
        <v>1</v>
      </c>
      <c r="F18" t="s">
        <v>351</v>
      </c>
      <c r="G18" t="s">
        <v>326</v>
      </c>
    </row>
    <row r="19" spans="1:7" x14ac:dyDescent="0.2">
      <c r="A19">
        <v>15</v>
      </c>
      <c r="B19" t="s">
        <v>321</v>
      </c>
      <c r="C19">
        <v>1</v>
      </c>
      <c r="D19">
        <v>1</v>
      </c>
      <c r="E19">
        <v>1</v>
      </c>
      <c r="F19" t="s">
        <v>342</v>
      </c>
      <c r="G19" t="s">
        <v>326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317"/>
  <sheetViews>
    <sheetView workbookViewId="0">
      <selection activeCell="C11" sqref="C11:C20"/>
    </sheetView>
  </sheetViews>
  <sheetFormatPr defaultRowHeight="14.25" x14ac:dyDescent="0.2"/>
  <cols>
    <col min="2" max="2" width="42.625" customWidth="1"/>
    <col min="3" max="3" width="32.625" bestFit="1" customWidth="1"/>
    <col min="4" max="4" width="46.75" customWidth="1"/>
    <col min="5" max="5" width="40" customWidth="1"/>
  </cols>
  <sheetData>
    <row r="1" spans="1:11" x14ac:dyDescent="0.2">
      <c r="B1" t="s">
        <v>272</v>
      </c>
      <c r="C1" t="s">
        <v>273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281</v>
      </c>
      <c r="J1" t="s">
        <v>282</v>
      </c>
      <c r="K1" t="s">
        <v>283</v>
      </c>
    </row>
    <row r="2" spans="1:11" x14ac:dyDescent="0.2">
      <c r="A2" t="s">
        <v>274</v>
      </c>
      <c r="B2" t="s">
        <v>341</v>
      </c>
    </row>
    <row r="3" spans="1:11" x14ac:dyDescent="0.2">
      <c r="A3" t="s">
        <v>275</v>
      </c>
      <c r="B3" t="s">
        <v>271</v>
      </c>
    </row>
    <row r="4" spans="1:11" ht="30" customHeight="1" x14ac:dyDescent="0.2"/>
    <row r="5" spans="1:11" ht="35.25" customHeight="1" x14ac:dyDescent="0.2"/>
    <row r="6" spans="1:11" x14ac:dyDescent="0.2">
      <c r="A6" t="s">
        <v>284</v>
      </c>
      <c r="B6" t="s">
        <v>342</v>
      </c>
    </row>
    <row r="11" spans="1:11" x14ac:dyDescent="0.2">
      <c r="A11" t="s">
        <v>332</v>
      </c>
      <c r="B11" t="s">
        <v>262</v>
      </c>
      <c r="C11" t="s">
        <v>343</v>
      </c>
    </row>
    <row r="12" spans="1:11" x14ac:dyDescent="0.2">
      <c r="A12" t="s">
        <v>333</v>
      </c>
      <c r="B12" t="s">
        <v>263</v>
      </c>
      <c r="C12" t="s">
        <v>344</v>
      </c>
    </row>
    <row r="13" spans="1:11" x14ac:dyDescent="0.2">
      <c r="A13" t="s">
        <v>334</v>
      </c>
      <c r="B13" t="s">
        <v>264</v>
      </c>
      <c r="C13" t="s">
        <v>345</v>
      </c>
    </row>
    <row r="14" spans="1:11" x14ac:dyDescent="0.2">
      <c r="A14" t="s">
        <v>335</v>
      </c>
      <c r="B14" t="s">
        <v>265</v>
      </c>
      <c r="C14" t="s">
        <v>346</v>
      </c>
    </row>
    <row r="15" spans="1:11" x14ac:dyDescent="0.2">
      <c r="A15" t="s">
        <v>336</v>
      </c>
      <c r="B15" t="s">
        <v>266</v>
      </c>
      <c r="C15" t="s">
        <v>347</v>
      </c>
    </row>
    <row r="16" spans="1:11" x14ac:dyDescent="0.2">
      <c r="A16" t="s">
        <v>337</v>
      </c>
      <c r="B16" t="s">
        <v>267</v>
      </c>
      <c r="C16" t="s">
        <v>348</v>
      </c>
    </row>
    <row r="17" spans="1:35" x14ac:dyDescent="0.2">
      <c r="A17" t="s">
        <v>338</v>
      </c>
      <c r="B17" t="s">
        <v>268</v>
      </c>
      <c r="C17" t="s">
        <v>349</v>
      </c>
    </row>
    <row r="18" spans="1:35" x14ac:dyDescent="0.2">
      <c r="A18" t="s">
        <v>339</v>
      </c>
      <c r="B18" t="s">
        <v>269</v>
      </c>
      <c r="C18" t="s">
        <v>350</v>
      </c>
    </row>
    <row r="19" spans="1:35" x14ac:dyDescent="0.2">
      <c r="A19" t="s">
        <v>340</v>
      </c>
      <c r="B19" t="s">
        <v>270</v>
      </c>
      <c r="C19" t="s">
        <v>351</v>
      </c>
    </row>
    <row r="20" spans="1:35" x14ac:dyDescent="0.2">
      <c r="A20" t="s">
        <v>341</v>
      </c>
      <c r="B20" t="s">
        <v>271</v>
      </c>
      <c r="C20" t="s">
        <v>342</v>
      </c>
    </row>
    <row r="21" spans="1:35" x14ac:dyDescent="0.2">
      <c r="C21" t="s">
        <v>79</v>
      </c>
      <c r="D21" t="s">
        <v>80</v>
      </c>
      <c r="E21" t="s">
        <v>1</v>
      </c>
      <c r="F21" t="s">
        <v>81</v>
      </c>
    </row>
    <row r="22" spans="1:35" x14ac:dyDescent="0.2">
      <c r="D22" t="s">
        <v>82</v>
      </c>
      <c r="E22" t="s">
        <v>1</v>
      </c>
      <c r="F22" t="s">
        <v>81</v>
      </c>
    </row>
    <row r="23" spans="1:35" x14ac:dyDescent="0.2">
      <c r="D23" t="s">
        <v>2</v>
      </c>
      <c r="E23" t="s">
        <v>1</v>
      </c>
      <c r="F23" t="s">
        <v>3</v>
      </c>
    </row>
    <row r="24" spans="1:35" x14ac:dyDescent="0.2">
      <c r="D24" t="s">
        <v>70</v>
      </c>
      <c r="E24" t="s">
        <v>1</v>
      </c>
      <c r="F24" t="s">
        <v>198</v>
      </c>
      <c r="G24" t="s">
        <v>78</v>
      </c>
      <c r="H24" t="s">
        <v>178</v>
      </c>
      <c r="L24" t="str">
        <f>F24&amp;G24&amp;H24</f>
        <v>Vector3-91.231812,-5.830566,8.811942,</v>
      </c>
      <c r="Q24" t="s">
        <v>146</v>
      </c>
    </row>
    <row r="25" spans="1:35" x14ac:dyDescent="0.2">
      <c r="D25" t="s">
        <v>71</v>
      </c>
      <c r="E25" t="s">
        <v>1</v>
      </c>
      <c r="F25" t="s">
        <v>83</v>
      </c>
      <c r="Q25" t="s">
        <v>147</v>
      </c>
    </row>
    <row r="26" spans="1:35" x14ac:dyDescent="0.2">
      <c r="D26" t="s">
        <v>72</v>
      </c>
      <c r="E26" t="s">
        <v>1</v>
      </c>
      <c r="F26" t="s">
        <v>84</v>
      </c>
      <c r="Q26" t="s">
        <v>148</v>
      </c>
    </row>
    <row r="27" spans="1:35" x14ac:dyDescent="0.2">
      <c r="D27" t="s">
        <v>73</v>
      </c>
      <c r="E27" t="s">
        <v>1</v>
      </c>
      <c r="F27" t="s">
        <v>85</v>
      </c>
      <c r="Q27" t="s">
        <v>149</v>
      </c>
    </row>
    <row r="28" spans="1:35" x14ac:dyDescent="0.2">
      <c r="D28" t="s">
        <v>74</v>
      </c>
      <c r="E28" t="s">
        <v>1</v>
      </c>
      <c r="F28" t="s">
        <v>199</v>
      </c>
      <c r="L28" t="str">
        <f>F28&amp;G28&amp;H28</f>
        <v>{Vector3-91.231812,-5.830566,8.811942},</v>
      </c>
      <c r="Q28" t="s">
        <v>150</v>
      </c>
    </row>
    <row r="29" spans="1:35" x14ac:dyDescent="0.2">
      <c r="A29" t="s">
        <v>285</v>
      </c>
      <c r="B29" t="s">
        <v>1</v>
      </c>
      <c r="C29" t="s">
        <v>286</v>
      </c>
      <c r="D29" t="s">
        <v>287</v>
      </c>
      <c r="E29" t="s">
        <v>288</v>
      </c>
      <c r="F29" t="s">
        <v>1</v>
      </c>
      <c r="G29" t="s">
        <v>289</v>
      </c>
      <c r="H29" t="s">
        <v>287</v>
      </c>
      <c r="I29" t="s">
        <v>288</v>
      </c>
      <c r="J29" t="s">
        <v>1</v>
      </c>
      <c r="K29" t="s">
        <v>290</v>
      </c>
      <c r="L29" t="s">
        <v>287</v>
      </c>
      <c r="M29" t="s">
        <v>288</v>
      </c>
      <c r="N29" t="s">
        <v>1</v>
      </c>
      <c r="O29" t="s">
        <v>291</v>
      </c>
      <c r="P29" t="s">
        <v>287</v>
      </c>
      <c r="Q29" t="s">
        <v>288</v>
      </c>
      <c r="R29" t="s">
        <v>1</v>
      </c>
      <c r="S29" t="s">
        <v>292</v>
      </c>
      <c r="T29" t="s">
        <v>287</v>
      </c>
      <c r="U29" t="s">
        <v>288</v>
      </c>
      <c r="V29" t="s">
        <v>1</v>
      </c>
      <c r="W29" t="s">
        <v>293</v>
      </c>
      <c r="X29" t="s">
        <v>287</v>
      </c>
      <c r="Y29" t="s">
        <v>288</v>
      </c>
      <c r="Z29" t="s">
        <v>1</v>
      </c>
      <c r="AA29" t="s">
        <v>294</v>
      </c>
      <c r="AB29" t="s">
        <v>287</v>
      </c>
      <c r="AC29" t="s">
        <v>288</v>
      </c>
      <c r="AD29" t="s">
        <v>1</v>
      </c>
      <c r="AE29" t="s">
        <v>295</v>
      </c>
      <c r="AF29" t="s">
        <v>287</v>
      </c>
      <c r="AG29" t="s">
        <v>288</v>
      </c>
      <c r="AH29" t="s">
        <v>1</v>
      </c>
      <c r="AI29" t="s">
        <v>296</v>
      </c>
    </row>
    <row r="30" spans="1:35" x14ac:dyDescent="0.2">
      <c r="D30" t="s">
        <v>90</v>
      </c>
      <c r="Q30" t="s">
        <v>151</v>
      </c>
    </row>
    <row r="31" spans="1:35" x14ac:dyDescent="0.2">
      <c r="D31" t="s">
        <v>91</v>
      </c>
      <c r="E31" t="s">
        <v>1</v>
      </c>
      <c r="F31" t="s">
        <v>81</v>
      </c>
      <c r="Q31" t="s">
        <v>152</v>
      </c>
    </row>
    <row r="32" spans="1:35" x14ac:dyDescent="0.2">
      <c r="D32" t="s">
        <v>2</v>
      </c>
      <c r="E32" t="s">
        <v>1</v>
      </c>
      <c r="F32" t="s">
        <v>87</v>
      </c>
      <c r="Q32" t="s">
        <v>153</v>
      </c>
    </row>
    <row r="33" spans="4:17" x14ac:dyDescent="0.2">
      <c r="D33" t="s">
        <v>70</v>
      </c>
      <c r="E33" t="s">
        <v>1</v>
      </c>
      <c r="F33" t="s">
        <v>200</v>
      </c>
      <c r="G33" t="s">
        <v>92</v>
      </c>
      <c r="H33" t="s">
        <v>179</v>
      </c>
      <c r="L33" t="str">
        <f>F33&amp;G33&amp;H33</f>
        <v>Vector3-141.888611,1.146100,26.263166,</v>
      </c>
      <c r="Q33" t="s">
        <v>154</v>
      </c>
    </row>
    <row r="34" spans="4:17" x14ac:dyDescent="0.2">
      <c r="D34" t="s">
        <v>71</v>
      </c>
      <c r="E34" t="s">
        <v>1</v>
      </c>
      <c r="F34" t="s">
        <v>93</v>
      </c>
      <c r="Q34" t="s">
        <v>155</v>
      </c>
    </row>
    <row r="35" spans="4:17" x14ac:dyDescent="0.2">
      <c r="D35" t="s">
        <v>72</v>
      </c>
      <c r="E35" t="s">
        <v>1</v>
      </c>
      <c r="F35" t="s">
        <v>87</v>
      </c>
      <c r="Q35" t="s">
        <v>156</v>
      </c>
    </row>
    <row r="36" spans="4:17" x14ac:dyDescent="0.2">
      <c r="D36" t="s">
        <v>73</v>
      </c>
      <c r="E36" t="s">
        <v>1</v>
      </c>
      <c r="F36" t="s">
        <v>84</v>
      </c>
      <c r="Q36" t="s">
        <v>157</v>
      </c>
    </row>
    <row r="37" spans="4:17" x14ac:dyDescent="0.2">
      <c r="D37" t="s">
        <v>74</v>
      </c>
      <c r="E37" t="s">
        <v>1</v>
      </c>
      <c r="F37" t="s">
        <v>201</v>
      </c>
      <c r="L37" t="str">
        <f>F37&amp;G37&amp;H37</f>
        <v>{Vector3-141.888611,1.146100,26.263166},</v>
      </c>
      <c r="Q37" t="s">
        <v>158</v>
      </c>
    </row>
    <row r="38" spans="4:17" x14ac:dyDescent="0.2">
      <c r="D38" t="s">
        <v>75</v>
      </c>
      <c r="E38" t="s">
        <v>1</v>
      </c>
      <c r="F38" t="s">
        <v>86</v>
      </c>
      <c r="G38" t="s">
        <v>87</v>
      </c>
      <c r="H38" t="s">
        <v>88</v>
      </c>
      <c r="I38" t="s">
        <v>14</v>
      </c>
      <c r="J38" t="s">
        <v>89</v>
      </c>
      <c r="Q38" t="s">
        <v>164</v>
      </c>
    </row>
    <row r="39" spans="4:17" x14ac:dyDescent="0.2">
      <c r="D39" t="s">
        <v>90</v>
      </c>
      <c r="Q39" t="s">
        <v>159</v>
      </c>
    </row>
    <row r="40" spans="4:17" x14ac:dyDescent="0.2">
      <c r="D40" t="s">
        <v>94</v>
      </c>
      <c r="E40" t="s">
        <v>1</v>
      </c>
      <c r="F40" t="s">
        <v>81</v>
      </c>
      <c r="Q40" t="s">
        <v>160</v>
      </c>
    </row>
    <row r="41" spans="4:17" x14ac:dyDescent="0.2">
      <c r="D41" t="s">
        <v>2</v>
      </c>
      <c r="E41" t="s">
        <v>1</v>
      </c>
      <c r="F41" t="s">
        <v>88</v>
      </c>
      <c r="Q41" t="s">
        <v>161</v>
      </c>
    </row>
    <row r="42" spans="4:17" x14ac:dyDescent="0.2">
      <c r="D42" t="s">
        <v>70</v>
      </c>
      <c r="E42" t="s">
        <v>1</v>
      </c>
      <c r="F42" t="s">
        <v>202</v>
      </c>
      <c r="G42" t="s">
        <v>95</v>
      </c>
      <c r="H42" t="s">
        <v>180</v>
      </c>
      <c r="L42" t="str">
        <f>F42&amp;G42&amp;H42</f>
        <v>Vector3-78.490280,22.967964,78.842651,</v>
      </c>
      <c r="Q42" t="s">
        <v>162</v>
      </c>
    </row>
    <row r="43" spans="4:17" x14ac:dyDescent="0.2">
      <c r="D43" t="s">
        <v>71</v>
      </c>
      <c r="E43" t="s">
        <v>1</v>
      </c>
      <c r="F43" t="s">
        <v>96</v>
      </c>
      <c r="Q43" t="s">
        <v>163</v>
      </c>
    </row>
    <row r="44" spans="4:17" x14ac:dyDescent="0.2">
      <c r="D44" t="s">
        <v>72</v>
      </c>
      <c r="E44" t="s">
        <v>1</v>
      </c>
      <c r="F44" t="s">
        <v>87</v>
      </c>
    </row>
    <row r="45" spans="4:17" x14ac:dyDescent="0.2">
      <c r="D45" t="s">
        <v>73</v>
      </c>
      <c r="E45" t="s">
        <v>1</v>
      </c>
      <c r="F45" t="s">
        <v>84</v>
      </c>
    </row>
    <row r="46" spans="4:17" x14ac:dyDescent="0.2">
      <c r="D46" t="s">
        <v>74</v>
      </c>
      <c r="E46" t="s">
        <v>1</v>
      </c>
      <c r="F46" t="s">
        <v>203</v>
      </c>
      <c r="L46" t="str">
        <f>F46&amp;G46&amp;H46</f>
        <v>{Vector3-78.490280,22.967964,78.842651},</v>
      </c>
    </row>
    <row r="47" spans="4:17" x14ac:dyDescent="0.2">
      <c r="D47" t="s">
        <v>75</v>
      </c>
      <c r="E47" t="s">
        <v>1</v>
      </c>
      <c r="F47" t="s">
        <v>86</v>
      </c>
      <c r="G47" t="s">
        <v>87</v>
      </c>
      <c r="H47" t="s">
        <v>88</v>
      </c>
      <c r="I47" t="s">
        <v>14</v>
      </c>
      <c r="J47" t="s">
        <v>89</v>
      </c>
    </row>
    <row r="48" spans="4:17" x14ac:dyDescent="0.2">
      <c r="D48" t="s">
        <v>90</v>
      </c>
    </row>
    <row r="49" spans="4:12" x14ac:dyDescent="0.2">
      <c r="D49" t="s">
        <v>97</v>
      </c>
      <c r="E49" t="s">
        <v>1</v>
      </c>
      <c r="F49" t="s">
        <v>81</v>
      </c>
    </row>
    <row r="50" spans="4:12" x14ac:dyDescent="0.2">
      <c r="D50" t="s">
        <v>2</v>
      </c>
      <c r="E50" t="s">
        <v>1</v>
      </c>
      <c r="F50" t="s">
        <v>84</v>
      </c>
    </row>
    <row r="51" spans="4:12" x14ac:dyDescent="0.2">
      <c r="D51" t="s">
        <v>70</v>
      </c>
      <c r="E51" t="s">
        <v>1</v>
      </c>
      <c r="F51" t="s">
        <v>204</v>
      </c>
      <c r="G51" t="s">
        <v>98</v>
      </c>
      <c r="H51" t="s">
        <v>181</v>
      </c>
      <c r="L51" t="str">
        <f>F51&amp;G51&amp;H51</f>
        <v>Vector3-134.171356,18.175932,97.476051,</v>
      </c>
    </row>
    <row r="52" spans="4:12" x14ac:dyDescent="0.2">
      <c r="D52" t="s">
        <v>71</v>
      </c>
      <c r="E52" t="s">
        <v>1</v>
      </c>
      <c r="F52" t="s">
        <v>96</v>
      </c>
    </row>
    <row r="53" spans="4:12" x14ac:dyDescent="0.2">
      <c r="D53" t="s">
        <v>72</v>
      </c>
      <c r="E53" t="s">
        <v>1</v>
      </c>
      <c r="F53" t="s">
        <v>88</v>
      </c>
    </row>
    <row r="54" spans="4:12" x14ac:dyDescent="0.2">
      <c r="D54" t="s">
        <v>73</v>
      </c>
      <c r="E54" t="s">
        <v>1</v>
      </c>
      <c r="F54" t="s">
        <v>99</v>
      </c>
    </row>
    <row r="55" spans="4:12" x14ac:dyDescent="0.2">
      <c r="D55" t="s">
        <v>74</v>
      </c>
      <c r="E55" t="s">
        <v>1</v>
      </c>
      <c r="F55" t="s">
        <v>205</v>
      </c>
      <c r="L55" t="str">
        <f>F55&amp;G55&amp;H55</f>
        <v>{Vector3-134.171356,18.175932,97.476051},</v>
      </c>
    </row>
    <row r="56" spans="4:12" x14ac:dyDescent="0.2">
      <c r="D56" t="s">
        <v>75</v>
      </c>
      <c r="E56" t="s">
        <v>1</v>
      </c>
      <c r="F56" t="s">
        <v>86</v>
      </c>
      <c r="G56" t="s">
        <v>87</v>
      </c>
      <c r="H56" t="s">
        <v>88</v>
      </c>
      <c r="I56" t="s">
        <v>14</v>
      </c>
      <c r="J56" t="s">
        <v>89</v>
      </c>
    </row>
    <row r="57" spans="4:12" x14ac:dyDescent="0.2">
      <c r="D57" t="s">
        <v>90</v>
      </c>
    </row>
    <row r="58" spans="4:12" x14ac:dyDescent="0.2">
      <c r="D58" t="s">
        <v>100</v>
      </c>
      <c r="E58" t="s">
        <v>1</v>
      </c>
      <c r="F58" t="s">
        <v>81</v>
      </c>
    </row>
    <row r="59" spans="4:12" x14ac:dyDescent="0.2">
      <c r="D59" t="s">
        <v>2</v>
      </c>
      <c r="E59" t="s">
        <v>1</v>
      </c>
      <c r="F59" t="s">
        <v>14</v>
      </c>
    </row>
    <row r="60" spans="4:12" x14ac:dyDescent="0.2">
      <c r="D60" t="s">
        <v>70</v>
      </c>
      <c r="E60" t="s">
        <v>1</v>
      </c>
      <c r="F60" t="s">
        <v>206</v>
      </c>
      <c r="G60" t="s">
        <v>92</v>
      </c>
      <c r="H60" t="s">
        <v>182</v>
      </c>
      <c r="L60" t="str">
        <f>F60&amp;G60&amp;H60</f>
        <v>Vector3-42.108547,1.146100,-34.628693,</v>
      </c>
    </row>
    <row r="61" spans="4:12" x14ac:dyDescent="0.2">
      <c r="D61" t="s">
        <v>71</v>
      </c>
      <c r="E61" t="s">
        <v>1</v>
      </c>
      <c r="F61" t="s">
        <v>83</v>
      </c>
    </row>
    <row r="62" spans="4:12" x14ac:dyDescent="0.2">
      <c r="D62" t="s">
        <v>72</v>
      </c>
      <c r="E62" t="s">
        <v>1</v>
      </c>
      <c r="F62" t="s">
        <v>87</v>
      </c>
    </row>
    <row r="63" spans="4:12" x14ac:dyDescent="0.2">
      <c r="D63" t="s">
        <v>73</v>
      </c>
      <c r="E63" t="s">
        <v>1</v>
      </c>
      <c r="F63" t="s">
        <v>84</v>
      </c>
    </row>
    <row r="64" spans="4:12" x14ac:dyDescent="0.2">
      <c r="D64" t="s">
        <v>74</v>
      </c>
      <c r="E64" t="s">
        <v>1</v>
      </c>
      <c r="F64" t="s">
        <v>207</v>
      </c>
      <c r="L64" t="str">
        <f>F64&amp;G64&amp;H64</f>
        <v>{Vector3-42.108547,1.146100,-34.628693},</v>
      </c>
    </row>
    <row r="65" spans="4:12" x14ac:dyDescent="0.2">
      <c r="D65" t="s">
        <v>75</v>
      </c>
      <c r="E65" t="s">
        <v>1</v>
      </c>
      <c r="F65" t="s">
        <v>86</v>
      </c>
      <c r="G65" t="s">
        <v>87</v>
      </c>
      <c r="H65" t="s">
        <v>88</v>
      </c>
      <c r="I65" t="s">
        <v>14</v>
      </c>
      <c r="J65" t="s">
        <v>89</v>
      </c>
    </row>
    <row r="66" spans="4:12" x14ac:dyDescent="0.2">
      <c r="D66" t="s">
        <v>90</v>
      </c>
    </row>
    <row r="67" spans="4:12" x14ac:dyDescent="0.2">
      <c r="D67" t="s">
        <v>101</v>
      </c>
      <c r="E67" t="s">
        <v>1</v>
      </c>
      <c r="F67" t="s">
        <v>81</v>
      </c>
    </row>
    <row r="68" spans="4:12" x14ac:dyDescent="0.2">
      <c r="D68" t="s">
        <v>2</v>
      </c>
      <c r="E68" t="s">
        <v>1</v>
      </c>
      <c r="F68" t="s">
        <v>99</v>
      </c>
    </row>
    <row r="69" spans="4:12" x14ac:dyDescent="0.2">
      <c r="D69" t="s">
        <v>70</v>
      </c>
      <c r="E69" t="s">
        <v>1</v>
      </c>
      <c r="F69" t="s">
        <v>208</v>
      </c>
      <c r="G69" t="s">
        <v>102</v>
      </c>
      <c r="H69" t="s">
        <v>183</v>
      </c>
      <c r="L69" t="str">
        <f>F69&amp;G69&amp;H69</f>
        <v>Vector3-148.074799,4.103897,120.931183,</v>
      </c>
    </row>
    <row r="70" spans="4:12" x14ac:dyDescent="0.2">
      <c r="D70" t="s">
        <v>71</v>
      </c>
      <c r="E70" t="s">
        <v>1</v>
      </c>
      <c r="F70" t="s">
        <v>103</v>
      </c>
    </row>
    <row r="71" spans="4:12" x14ac:dyDescent="0.2">
      <c r="D71" t="s">
        <v>72</v>
      </c>
      <c r="E71" t="s">
        <v>1</v>
      </c>
      <c r="F71" t="s">
        <v>3</v>
      </c>
    </row>
    <row r="72" spans="4:12" x14ac:dyDescent="0.2">
      <c r="D72" t="s">
        <v>73</v>
      </c>
      <c r="E72" t="s">
        <v>1</v>
      </c>
      <c r="F72" t="s">
        <v>3</v>
      </c>
    </row>
    <row r="73" spans="4:12" x14ac:dyDescent="0.2">
      <c r="D73" t="s">
        <v>74</v>
      </c>
      <c r="E73" t="s">
        <v>1</v>
      </c>
      <c r="F73" t="s">
        <v>209</v>
      </c>
      <c r="L73" t="str">
        <f>F73&amp;G73&amp;H73</f>
        <v>{Vector3-148.074799,4.103897,120.931183},</v>
      </c>
    </row>
    <row r="74" spans="4:12" x14ac:dyDescent="0.2">
      <c r="D74" t="s">
        <v>75</v>
      </c>
      <c r="E74" t="s">
        <v>1</v>
      </c>
      <c r="F74" t="s">
        <v>104</v>
      </c>
    </row>
    <row r="75" spans="4:12" x14ac:dyDescent="0.2">
      <c r="D75" t="s">
        <v>90</v>
      </c>
    </row>
    <row r="76" spans="4:12" x14ac:dyDescent="0.2">
      <c r="D76" t="s">
        <v>105</v>
      </c>
      <c r="E76" t="s">
        <v>1</v>
      </c>
      <c r="F76" t="s">
        <v>81</v>
      </c>
    </row>
    <row r="77" spans="4:12" x14ac:dyDescent="0.2">
      <c r="D77" t="s">
        <v>2</v>
      </c>
      <c r="E77" t="s">
        <v>1</v>
      </c>
      <c r="F77" t="s">
        <v>106</v>
      </c>
    </row>
    <row r="78" spans="4:12" x14ac:dyDescent="0.2">
      <c r="D78" t="s">
        <v>70</v>
      </c>
      <c r="E78" t="s">
        <v>1</v>
      </c>
      <c r="F78" t="s">
        <v>210</v>
      </c>
      <c r="G78" t="s">
        <v>107</v>
      </c>
      <c r="H78" t="s">
        <v>184</v>
      </c>
      <c r="L78" t="str">
        <f>F78&amp;G78&amp;H78</f>
        <v>Vector3-162.690948,1.967392,24.952276,</v>
      </c>
    </row>
    <row r="79" spans="4:12" x14ac:dyDescent="0.2">
      <c r="D79" t="s">
        <v>71</v>
      </c>
      <c r="E79" t="s">
        <v>1</v>
      </c>
      <c r="F79" t="s">
        <v>103</v>
      </c>
    </row>
    <row r="80" spans="4:12" x14ac:dyDescent="0.2">
      <c r="D80" t="s">
        <v>72</v>
      </c>
      <c r="E80" t="s">
        <v>1</v>
      </c>
      <c r="F80" t="s">
        <v>3</v>
      </c>
    </row>
    <row r="81" spans="4:12" x14ac:dyDescent="0.2">
      <c r="D81" t="s">
        <v>73</v>
      </c>
      <c r="E81" t="s">
        <v>1</v>
      </c>
      <c r="F81" t="s">
        <v>3</v>
      </c>
    </row>
    <row r="82" spans="4:12" x14ac:dyDescent="0.2">
      <c r="D82" t="s">
        <v>74</v>
      </c>
      <c r="E82" t="s">
        <v>1</v>
      </c>
      <c r="F82" t="s">
        <v>211</v>
      </c>
      <c r="L82" t="str">
        <f>F82&amp;G82&amp;H82</f>
        <v>{Vector3-162.690948,1.967392,24.952276},</v>
      </c>
    </row>
    <row r="83" spans="4:12" x14ac:dyDescent="0.2">
      <c r="D83" t="s">
        <v>75</v>
      </c>
      <c r="E83" t="s">
        <v>1</v>
      </c>
      <c r="F83" t="s">
        <v>104</v>
      </c>
    </row>
    <row r="84" spans="4:12" x14ac:dyDescent="0.2">
      <c r="D84" t="s">
        <v>90</v>
      </c>
    </row>
    <row r="85" spans="4:12" x14ac:dyDescent="0.2">
      <c r="D85" t="s">
        <v>108</v>
      </c>
      <c r="E85" t="s">
        <v>1</v>
      </c>
      <c r="F85" t="s">
        <v>81</v>
      </c>
    </row>
    <row r="86" spans="4:12" x14ac:dyDescent="0.2">
      <c r="D86" t="s">
        <v>2</v>
      </c>
      <c r="E86" t="s">
        <v>1</v>
      </c>
      <c r="F86" t="s">
        <v>85</v>
      </c>
    </row>
    <row r="87" spans="4:12" x14ac:dyDescent="0.2">
      <c r="D87" t="s">
        <v>70</v>
      </c>
      <c r="E87" t="s">
        <v>1</v>
      </c>
      <c r="F87" t="s">
        <v>212</v>
      </c>
      <c r="G87" t="s">
        <v>109</v>
      </c>
      <c r="H87" t="s">
        <v>185</v>
      </c>
      <c r="L87" t="str">
        <f>F87&amp;G87&amp;H87</f>
        <v>Vector3-145.968903,3.849622,20.601957,</v>
      </c>
    </row>
    <row r="88" spans="4:12" x14ac:dyDescent="0.2">
      <c r="D88" t="s">
        <v>71</v>
      </c>
      <c r="E88" t="s">
        <v>1</v>
      </c>
      <c r="F88" t="s">
        <v>103</v>
      </c>
    </row>
    <row r="89" spans="4:12" x14ac:dyDescent="0.2">
      <c r="D89" t="s">
        <v>72</v>
      </c>
      <c r="E89" t="s">
        <v>1</v>
      </c>
      <c r="F89" t="s">
        <v>3</v>
      </c>
    </row>
    <row r="90" spans="4:12" x14ac:dyDescent="0.2">
      <c r="D90" t="s">
        <v>73</v>
      </c>
      <c r="E90" t="s">
        <v>1</v>
      </c>
      <c r="F90" t="s">
        <v>3</v>
      </c>
    </row>
    <row r="91" spans="4:12" x14ac:dyDescent="0.2">
      <c r="D91" t="s">
        <v>74</v>
      </c>
      <c r="E91" t="s">
        <v>1</v>
      </c>
      <c r="F91" t="s">
        <v>213</v>
      </c>
      <c r="L91" t="str">
        <f>F91&amp;G91&amp;H91</f>
        <v>{Vector3-145.968903,3.849622,20.601957},</v>
      </c>
    </row>
    <row r="92" spans="4:12" x14ac:dyDescent="0.2">
      <c r="D92" t="s">
        <v>75</v>
      </c>
      <c r="E92" t="s">
        <v>1</v>
      </c>
      <c r="F92" t="s">
        <v>104</v>
      </c>
    </row>
    <row r="93" spans="4:12" x14ac:dyDescent="0.2">
      <c r="D93" t="s">
        <v>90</v>
      </c>
    </row>
    <row r="94" spans="4:12" x14ac:dyDescent="0.2">
      <c r="D94" t="s">
        <v>110</v>
      </c>
      <c r="E94" t="s">
        <v>1</v>
      </c>
      <c r="F94" t="s">
        <v>81</v>
      </c>
    </row>
    <row r="95" spans="4:12" x14ac:dyDescent="0.2">
      <c r="D95" t="s">
        <v>2</v>
      </c>
      <c r="E95" t="s">
        <v>1</v>
      </c>
      <c r="F95" t="s">
        <v>111</v>
      </c>
    </row>
    <row r="96" spans="4:12" x14ac:dyDescent="0.2">
      <c r="D96" t="s">
        <v>70</v>
      </c>
      <c r="E96" t="s">
        <v>1</v>
      </c>
      <c r="F96" t="s">
        <v>214</v>
      </c>
      <c r="G96" t="s">
        <v>112</v>
      </c>
      <c r="H96" t="s">
        <v>186</v>
      </c>
      <c r="L96" t="str">
        <f>F96&amp;G96&amp;H96</f>
        <v>Vector3-124.259262,-0.133879,8.912663,</v>
      </c>
    </row>
    <row r="97" spans="4:12" x14ac:dyDescent="0.2">
      <c r="D97" t="s">
        <v>71</v>
      </c>
      <c r="E97" t="s">
        <v>1</v>
      </c>
      <c r="F97" t="s">
        <v>103</v>
      </c>
    </row>
    <row r="98" spans="4:12" x14ac:dyDescent="0.2">
      <c r="D98" t="s">
        <v>72</v>
      </c>
      <c r="E98" t="s">
        <v>1</v>
      </c>
      <c r="F98" t="s">
        <v>3</v>
      </c>
    </row>
    <row r="99" spans="4:12" x14ac:dyDescent="0.2">
      <c r="D99" t="s">
        <v>73</v>
      </c>
      <c r="E99" t="s">
        <v>1</v>
      </c>
      <c r="F99" t="s">
        <v>3</v>
      </c>
    </row>
    <row r="100" spans="4:12" x14ac:dyDescent="0.2">
      <c r="D100" t="s">
        <v>74</v>
      </c>
      <c r="E100" t="s">
        <v>1</v>
      </c>
      <c r="F100" t="s">
        <v>215</v>
      </c>
      <c r="L100" t="str">
        <f>F100&amp;G100&amp;H100</f>
        <v>{Vector3-124.259262,-0.133879,8.912663},</v>
      </c>
    </row>
    <row r="101" spans="4:12" x14ac:dyDescent="0.2">
      <c r="D101" t="s">
        <v>75</v>
      </c>
      <c r="E101" t="s">
        <v>1</v>
      </c>
      <c r="F101" t="s">
        <v>104</v>
      </c>
    </row>
    <row r="102" spans="4:12" x14ac:dyDescent="0.2">
      <c r="D102" t="s">
        <v>90</v>
      </c>
    </row>
    <row r="103" spans="4:12" x14ac:dyDescent="0.2">
      <c r="D103" t="s">
        <v>113</v>
      </c>
      <c r="E103" t="s">
        <v>1</v>
      </c>
      <c r="F103" t="s">
        <v>81</v>
      </c>
    </row>
    <row r="104" spans="4:12" x14ac:dyDescent="0.2">
      <c r="D104" t="s">
        <v>2</v>
      </c>
      <c r="E104" t="s">
        <v>1</v>
      </c>
      <c r="F104" t="s">
        <v>114</v>
      </c>
    </row>
    <row r="105" spans="4:12" x14ac:dyDescent="0.2">
      <c r="D105" t="s">
        <v>70</v>
      </c>
      <c r="E105" t="s">
        <v>1</v>
      </c>
      <c r="F105" t="s">
        <v>216</v>
      </c>
      <c r="G105" t="s">
        <v>115</v>
      </c>
      <c r="H105" t="s">
        <v>187</v>
      </c>
      <c r="L105" t="str">
        <f>F105&amp;G105&amp;H105</f>
        <v>Vector3-120.020340,3.123763,-5.451871,</v>
      </c>
    </row>
    <row r="106" spans="4:12" x14ac:dyDescent="0.2">
      <c r="D106" t="s">
        <v>71</v>
      </c>
      <c r="E106" t="s">
        <v>1</v>
      </c>
      <c r="F106" t="s">
        <v>103</v>
      </c>
    </row>
    <row r="107" spans="4:12" x14ac:dyDescent="0.2">
      <c r="D107" t="s">
        <v>72</v>
      </c>
      <c r="E107" t="s">
        <v>1</v>
      </c>
      <c r="F107" t="s">
        <v>3</v>
      </c>
    </row>
    <row r="108" spans="4:12" x14ac:dyDescent="0.2">
      <c r="D108" t="s">
        <v>73</v>
      </c>
      <c r="E108" t="s">
        <v>1</v>
      </c>
      <c r="F108" t="s">
        <v>3</v>
      </c>
    </row>
    <row r="109" spans="4:12" x14ac:dyDescent="0.2">
      <c r="D109" t="s">
        <v>74</v>
      </c>
      <c r="E109" t="s">
        <v>1</v>
      </c>
      <c r="F109" t="s">
        <v>217</v>
      </c>
      <c r="L109" t="str">
        <f>F109&amp;G109&amp;H109</f>
        <v>{Vector3-120.020340,3.123763,-5.451871},</v>
      </c>
    </row>
    <row r="110" spans="4:12" x14ac:dyDescent="0.2">
      <c r="D110" t="s">
        <v>75</v>
      </c>
      <c r="E110" t="s">
        <v>1</v>
      </c>
      <c r="F110" t="s">
        <v>104</v>
      </c>
    </row>
    <row r="111" spans="4:12" x14ac:dyDescent="0.2">
      <c r="D111" t="s">
        <v>90</v>
      </c>
    </row>
    <row r="112" spans="4:12" x14ac:dyDescent="0.2">
      <c r="D112" t="s">
        <v>116</v>
      </c>
      <c r="E112" t="s">
        <v>1</v>
      </c>
      <c r="F112" t="s">
        <v>81</v>
      </c>
    </row>
    <row r="113" spans="4:12" x14ac:dyDescent="0.2">
      <c r="D113" t="s">
        <v>2</v>
      </c>
      <c r="E113" t="s">
        <v>1</v>
      </c>
      <c r="F113" t="s">
        <v>117</v>
      </c>
    </row>
    <row r="114" spans="4:12" x14ac:dyDescent="0.2">
      <c r="D114" t="s">
        <v>70</v>
      </c>
      <c r="E114" t="s">
        <v>1</v>
      </c>
      <c r="F114" t="s">
        <v>218</v>
      </c>
      <c r="G114" t="s">
        <v>118</v>
      </c>
      <c r="H114" t="s">
        <v>188</v>
      </c>
      <c r="L114" t="str">
        <f>F114&amp;G114&amp;H114</f>
        <v>Vector3-60.434696,-6.796978,12.277740,</v>
      </c>
    </row>
    <row r="115" spans="4:12" x14ac:dyDescent="0.2">
      <c r="D115" t="s">
        <v>71</v>
      </c>
      <c r="E115" t="s">
        <v>1</v>
      </c>
      <c r="F115" t="s">
        <v>103</v>
      </c>
    </row>
    <row r="116" spans="4:12" x14ac:dyDescent="0.2">
      <c r="D116" t="s">
        <v>72</v>
      </c>
      <c r="E116" t="s">
        <v>1</v>
      </c>
      <c r="F116" t="s">
        <v>3</v>
      </c>
    </row>
    <row r="117" spans="4:12" x14ac:dyDescent="0.2">
      <c r="D117" t="s">
        <v>73</v>
      </c>
      <c r="E117" t="s">
        <v>1</v>
      </c>
      <c r="F117" t="s">
        <v>3</v>
      </c>
    </row>
    <row r="118" spans="4:12" x14ac:dyDescent="0.2">
      <c r="D118" t="s">
        <v>74</v>
      </c>
      <c r="E118" t="s">
        <v>1</v>
      </c>
      <c r="F118" t="s">
        <v>219</v>
      </c>
      <c r="L118" t="str">
        <f>F118&amp;G118&amp;H118</f>
        <v>{Vector3-60.434696,-6.796978,12.277740},</v>
      </c>
    </row>
    <row r="119" spans="4:12" x14ac:dyDescent="0.2">
      <c r="D119" t="s">
        <v>75</v>
      </c>
      <c r="E119" t="s">
        <v>1</v>
      </c>
      <c r="F119" t="s">
        <v>104</v>
      </c>
    </row>
    <row r="120" spans="4:12" x14ac:dyDescent="0.2">
      <c r="D120" t="s">
        <v>90</v>
      </c>
    </row>
    <row r="121" spans="4:12" x14ac:dyDescent="0.2">
      <c r="D121" t="s">
        <v>119</v>
      </c>
      <c r="E121" t="s">
        <v>1</v>
      </c>
      <c r="F121" t="s">
        <v>81</v>
      </c>
    </row>
    <row r="122" spans="4:12" x14ac:dyDescent="0.2">
      <c r="D122" t="s">
        <v>2</v>
      </c>
      <c r="E122" t="s">
        <v>1</v>
      </c>
      <c r="F122" t="s">
        <v>120</v>
      </c>
    </row>
    <row r="123" spans="4:12" x14ac:dyDescent="0.2">
      <c r="D123" t="s">
        <v>70</v>
      </c>
      <c r="E123" t="s">
        <v>1</v>
      </c>
      <c r="F123" t="s">
        <v>220</v>
      </c>
      <c r="G123" t="s">
        <v>121</v>
      </c>
      <c r="H123" t="s">
        <v>189</v>
      </c>
      <c r="L123" t="str">
        <f>F123&amp;G123&amp;H123</f>
        <v>Vector33.408135,-5.504182,41.100723,</v>
      </c>
    </row>
    <row r="124" spans="4:12" x14ac:dyDescent="0.2">
      <c r="D124" t="s">
        <v>71</v>
      </c>
      <c r="E124" t="s">
        <v>1</v>
      </c>
      <c r="F124" t="s">
        <v>103</v>
      </c>
    </row>
    <row r="125" spans="4:12" x14ac:dyDescent="0.2">
      <c r="D125" t="s">
        <v>72</v>
      </c>
      <c r="E125" t="s">
        <v>1</v>
      </c>
      <c r="F125" t="s">
        <v>3</v>
      </c>
    </row>
    <row r="126" spans="4:12" x14ac:dyDescent="0.2">
      <c r="D126" t="s">
        <v>73</v>
      </c>
      <c r="E126" t="s">
        <v>1</v>
      </c>
      <c r="F126" t="s">
        <v>3</v>
      </c>
    </row>
    <row r="127" spans="4:12" x14ac:dyDescent="0.2">
      <c r="D127" t="s">
        <v>74</v>
      </c>
      <c r="E127" t="s">
        <v>1</v>
      </c>
      <c r="F127" t="s">
        <v>221</v>
      </c>
      <c r="L127" t="str">
        <f>F127&amp;G127&amp;H127</f>
        <v>{Vector33.408135,-5.504182,41.100723},</v>
      </c>
    </row>
    <row r="128" spans="4:12" x14ac:dyDescent="0.2">
      <c r="D128" t="s">
        <v>75</v>
      </c>
      <c r="E128" t="s">
        <v>1</v>
      </c>
      <c r="F128" t="s">
        <v>104</v>
      </c>
    </row>
    <row r="129" spans="4:12" x14ac:dyDescent="0.2">
      <c r="D129" t="s">
        <v>90</v>
      </c>
    </row>
    <row r="130" spans="4:12" x14ac:dyDescent="0.2">
      <c r="D130" t="s">
        <v>122</v>
      </c>
      <c r="E130" t="s">
        <v>1</v>
      </c>
      <c r="F130" t="s">
        <v>81</v>
      </c>
    </row>
    <row r="131" spans="4:12" x14ac:dyDescent="0.2">
      <c r="D131" t="s">
        <v>2</v>
      </c>
      <c r="E131" t="s">
        <v>1</v>
      </c>
      <c r="F131" t="s">
        <v>93</v>
      </c>
    </row>
    <row r="132" spans="4:12" x14ac:dyDescent="0.2">
      <c r="D132" t="s">
        <v>70</v>
      </c>
      <c r="E132" t="s">
        <v>1</v>
      </c>
      <c r="F132" t="s">
        <v>222</v>
      </c>
      <c r="G132" t="s">
        <v>123</v>
      </c>
      <c r="H132" t="s">
        <v>190</v>
      </c>
      <c r="L132" t="str">
        <f>F132&amp;G132&amp;H132</f>
        <v>Vector3104.964157,-8.014651,1.472798,</v>
      </c>
    </row>
    <row r="133" spans="4:12" x14ac:dyDescent="0.2">
      <c r="D133" t="s">
        <v>71</v>
      </c>
      <c r="E133" t="s">
        <v>1</v>
      </c>
      <c r="F133" t="s">
        <v>103</v>
      </c>
    </row>
    <row r="134" spans="4:12" x14ac:dyDescent="0.2">
      <c r="D134" t="s">
        <v>72</v>
      </c>
      <c r="E134" t="s">
        <v>1</v>
      </c>
      <c r="F134" t="s">
        <v>3</v>
      </c>
    </row>
    <row r="135" spans="4:12" x14ac:dyDescent="0.2">
      <c r="D135" t="s">
        <v>73</v>
      </c>
      <c r="E135" t="s">
        <v>1</v>
      </c>
      <c r="F135" t="s">
        <v>3</v>
      </c>
    </row>
    <row r="136" spans="4:12" x14ac:dyDescent="0.2">
      <c r="D136" t="s">
        <v>74</v>
      </c>
      <c r="E136" t="s">
        <v>1</v>
      </c>
      <c r="F136" t="s">
        <v>223</v>
      </c>
      <c r="L136" t="str">
        <f>F136&amp;G136&amp;H136</f>
        <v>{Vector3104.964157,-8.014651,1.472798},</v>
      </c>
    </row>
    <row r="137" spans="4:12" x14ac:dyDescent="0.2">
      <c r="D137" t="s">
        <v>75</v>
      </c>
      <c r="E137" t="s">
        <v>1</v>
      </c>
      <c r="F137" t="s">
        <v>104</v>
      </c>
    </row>
    <row r="138" spans="4:12" x14ac:dyDescent="0.2">
      <c r="D138" t="s">
        <v>90</v>
      </c>
    </row>
    <row r="139" spans="4:12" x14ac:dyDescent="0.2">
      <c r="D139" t="s">
        <v>124</v>
      </c>
      <c r="E139" t="s">
        <v>1</v>
      </c>
      <c r="F139" t="s">
        <v>81</v>
      </c>
    </row>
    <row r="140" spans="4:12" x14ac:dyDescent="0.2">
      <c r="D140" t="s">
        <v>2</v>
      </c>
      <c r="E140" t="s">
        <v>1</v>
      </c>
      <c r="F140" t="s">
        <v>125</v>
      </c>
    </row>
    <row r="141" spans="4:12" x14ac:dyDescent="0.2">
      <c r="D141" t="s">
        <v>70</v>
      </c>
      <c r="E141" t="s">
        <v>1</v>
      </c>
      <c r="F141" t="s">
        <v>224</v>
      </c>
      <c r="G141" t="s">
        <v>126</v>
      </c>
      <c r="H141" t="s">
        <v>191</v>
      </c>
      <c r="L141" t="str">
        <f>F141&amp;G141&amp;H141</f>
        <v>Vector3-54.611588,-1.620862,-36.291142,</v>
      </c>
    </row>
    <row r="142" spans="4:12" x14ac:dyDescent="0.2">
      <c r="D142" t="s">
        <v>71</v>
      </c>
      <c r="E142" t="s">
        <v>1</v>
      </c>
      <c r="F142" t="s">
        <v>103</v>
      </c>
    </row>
    <row r="143" spans="4:12" x14ac:dyDescent="0.2">
      <c r="D143" t="s">
        <v>72</v>
      </c>
      <c r="E143" t="s">
        <v>1</v>
      </c>
      <c r="F143" t="s">
        <v>3</v>
      </c>
    </row>
    <row r="144" spans="4:12" x14ac:dyDescent="0.2">
      <c r="D144" t="s">
        <v>73</v>
      </c>
      <c r="E144" t="s">
        <v>1</v>
      </c>
      <c r="F144" t="s">
        <v>3</v>
      </c>
    </row>
    <row r="145" spans="4:12" x14ac:dyDescent="0.2">
      <c r="D145" t="s">
        <v>74</v>
      </c>
      <c r="E145" t="s">
        <v>1</v>
      </c>
      <c r="F145" t="s">
        <v>225</v>
      </c>
      <c r="L145" t="str">
        <f>F145&amp;G145&amp;H145</f>
        <v>{Vector3-54.611588,-1.620862,-36.291142},</v>
      </c>
    </row>
    <row r="146" spans="4:12" x14ac:dyDescent="0.2">
      <c r="D146" t="s">
        <v>75</v>
      </c>
      <c r="E146" t="s">
        <v>1</v>
      </c>
      <c r="F146" t="s">
        <v>104</v>
      </c>
    </row>
    <row r="147" spans="4:12" x14ac:dyDescent="0.2">
      <c r="D147" t="s">
        <v>90</v>
      </c>
    </row>
    <row r="148" spans="4:12" x14ac:dyDescent="0.2">
      <c r="D148" t="s">
        <v>127</v>
      </c>
      <c r="E148" t="s">
        <v>1</v>
      </c>
      <c r="F148" t="s">
        <v>81</v>
      </c>
    </row>
    <row r="149" spans="4:12" x14ac:dyDescent="0.2">
      <c r="D149" t="s">
        <v>2</v>
      </c>
      <c r="E149" t="s">
        <v>1</v>
      </c>
      <c r="F149" t="s">
        <v>128</v>
      </c>
    </row>
    <row r="150" spans="4:12" x14ac:dyDescent="0.2">
      <c r="D150" t="s">
        <v>70</v>
      </c>
      <c r="E150" t="s">
        <v>1</v>
      </c>
      <c r="F150" t="s">
        <v>226</v>
      </c>
      <c r="G150" t="s">
        <v>126</v>
      </c>
      <c r="H150" t="s">
        <v>192</v>
      </c>
      <c r="L150" t="s">
        <v>227</v>
      </c>
    </row>
    <row r="151" spans="4:12" x14ac:dyDescent="0.2">
      <c r="D151" t="s">
        <v>71</v>
      </c>
      <c r="E151" t="s">
        <v>1</v>
      </c>
      <c r="F151" t="s">
        <v>103</v>
      </c>
    </row>
    <row r="152" spans="4:12" x14ac:dyDescent="0.2">
      <c r="D152" t="s">
        <v>72</v>
      </c>
      <c r="E152" t="s">
        <v>1</v>
      </c>
      <c r="F152" t="s">
        <v>3</v>
      </c>
    </row>
    <row r="153" spans="4:12" x14ac:dyDescent="0.2">
      <c r="D153" t="s">
        <v>73</v>
      </c>
      <c r="E153" t="s">
        <v>1</v>
      </c>
      <c r="F153" t="s">
        <v>3</v>
      </c>
    </row>
    <row r="154" spans="4:12" x14ac:dyDescent="0.2">
      <c r="D154" t="s">
        <v>74</v>
      </c>
      <c r="E154" t="s">
        <v>1</v>
      </c>
      <c r="F154" t="s">
        <v>228</v>
      </c>
      <c r="L154" t="str">
        <f>F154&amp;G154&amp;H154</f>
        <v>{Vector3-55.171082,-1.620862,-26.577339},</v>
      </c>
    </row>
    <row r="155" spans="4:12" x14ac:dyDescent="0.2">
      <c r="D155" t="s">
        <v>75</v>
      </c>
      <c r="E155" t="s">
        <v>1</v>
      </c>
      <c r="F155" t="s">
        <v>104</v>
      </c>
    </row>
    <row r="156" spans="4:12" x14ac:dyDescent="0.2">
      <c r="D156" t="s">
        <v>90</v>
      </c>
    </row>
    <row r="157" spans="4:12" x14ac:dyDescent="0.2">
      <c r="D157" t="s">
        <v>129</v>
      </c>
      <c r="E157" t="s">
        <v>1</v>
      </c>
      <c r="F157" t="s">
        <v>81</v>
      </c>
    </row>
    <row r="158" spans="4:12" x14ac:dyDescent="0.2">
      <c r="D158" t="s">
        <v>2</v>
      </c>
      <c r="E158" t="s">
        <v>1</v>
      </c>
      <c r="F158" t="s">
        <v>130</v>
      </c>
    </row>
    <row r="159" spans="4:12" x14ac:dyDescent="0.2">
      <c r="D159" t="s">
        <v>70</v>
      </c>
      <c r="E159" t="s">
        <v>1</v>
      </c>
      <c r="F159" t="s">
        <v>226</v>
      </c>
      <c r="G159" t="s">
        <v>131</v>
      </c>
      <c r="H159" t="s">
        <v>193</v>
      </c>
      <c r="L159" t="str">
        <f>F159&amp;G159&amp;H159</f>
        <v>Vector3-55.171082,-6.587202,-50.212555,</v>
      </c>
    </row>
    <row r="160" spans="4:12" x14ac:dyDescent="0.2">
      <c r="D160" t="s">
        <v>71</v>
      </c>
      <c r="E160" t="s">
        <v>1</v>
      </c>
      <c r="F160" t="s">
        <v>103</v>
      </c>
    </row>
    <row r="161" spans="4:12" x14ac:dyDescent="0.2">
      <c r="D161" t="s">
        <v>72</v>
      </c>
      <c r="E161" t="s">
        <v>1</v>
      </c>
      <c r="F161" t="s">
        <v>3</v>
      </c>
    </row>
    <row r="162" spans="4:12" x14ac:dyDescent="0.2">
      <c r="D162" t="s">
        <v>73</v>
      </c>
      <c r="E162" t="s">
        <v>1</v>
      </c>
      <c r="F162" t="s">
        <v>3</v>
      </c>
    </row>
    <row r="163" spans="4:12" x14ac:dyDescent="0.2">
      <c r="D163" t="s">
        <v>74</v>
      </c>
      <c r="E163" t="s">
        <v>1</v>
      </c>
      <c r="F163" t="s">
        <v>229</v>
      </c>
      <c r="L163" t="str">
        <f>F163&amp;G163&amp;H163</f>
        <v>{Vector3-55.171082,-6.587202,-50.212555},</v>
      </c>
    </row>
    <row r="164" spans="4:12" x14ac:dyDescent="0.2">
      <c r="D164" t="s">
        <v>75</v>
      </c>
      <c r="E164" t="s">
        <v>1</v>
      </c>
      <c r="F164" t="s">
        <v>104</v>
      </c>
    </row>
    <row r="165" spans="4:12" x14ac:dyDescent="0.2">
      <c r="D165" t="s">
        <v>90</v>
      </c>
    </row>
    <row r="166" spans="4:12" x14ac:dyDescent="0.2">
      <c r="D166" t="s">
        <v>132</v>
      </c>
      <c r="E166" t="s">
        <v>1</v>
      </c>
      <c r="F166" t="s">
        <v>81</v>
      </c>
    </row>
    <row r="167" spans="4:12" x14ac:dyDescent="0.2">
      <c r="D167" t="s">
        <v>2</v>
      </c>
      <c r="E167" t="s">
        <v>1</v>
      </c>
      <c r="F167" t="s">
        <v>133</v>
      </c>
    </row>
    <row r="168" spans="4:12" x14ac:dyDescent="0.2">
      <c r="D168" t="s">
        <v>70</v>
      </c>
      <c r="E168" t="s">
        <v>1</v>
      </c>
      <c r="F168" t="s">
        <v>230</v>
      </c>
      <c r="G168" t="s">
        <v>134</v>
      </c>
      <c r="H168" t="s">
        <v>194</v>
      </c>
      <c r="L168" t="str">
        <f>F168&amp;G168&amp;H168</f>
        <v>Vector3-75.106125,-5.285405,-60.691929,</v>
      </c>
    </row>
    <row r="169" spans="4:12" x14ac:dyDescent="0.2">
      <c r="D169" t="s">
        <v>71</v>
      </c>
      <c r="E169" t="s">
        <v>1</v>
      </c>
      <c r="F169" t="s">
        <v>103</v>
      </c>
    </row>
    <row r="170" spans="4:12" x14ac:dyDescent="0.2">
      <c r="D170" t="s">
        <v>72</v>
      </c>
      <c r="E170" t="s">
        <v>1</v>
      </c>
      <c r="F170" t="s">
        <v>3</v>
      </c>
    </row>
    <row r="171" spans="4:12" x14ac:dyDescent="0.2">
      <c r="D171" t="s">
        <v>73</v>
      </c>
      <c r="E171" t="s">
        <v>1</v>
      </c>
      <c r="F171" t="s">
        <v>3</v>
      </c>
    </row>
    <row r="172" spans="4:12" x14ac:dyDescent="0.2">
      <c r="D172" t="s">
        <v>74</v>
      </c>
      <c r="E172" t="s">
        <v>1</v>
      </c>
      <c r="F172" t="s">
        <v>231</v>
      </c>
      <c r="L172" t="str">
        <f>F172&amp;G172&amp;H172</f>
        <v>{Vector3-75.106125,-5.285405,-60.691929},</v>
      </c>
    </row>
    <row r="173" spans="4:12" x14ac:dyDescent="0.2">
      <c r="D173" t="s">
        <v>75</v>
      </c>
      <c r="E173" t="s">
        <v>1</v>
      </c>
      <c r="F173" t="s">
        <v>104</v>
      </c>
    </row>
    <row r="174" spans="4:12" x14ac:dyDescent="0.2">
      <c r="D174" t="s">
        <v>90</v>
      </c>
    </row>
    <row r="175" spans="4:12" x14ac:dyDescent="0.2">
      <c r="D175" t="s">
        <v>135</v>
      </c>
      <c r="E175" t="s">
        <v>1</v>
      </c>
      <c r="F175" t="s">
        <v>81</v>
      </c>
    </row>
    <row r="176" spans="4:12" x14ac:dyDescent="0.2">
      <c r="D176" t="s">
        <v>2</v>
      </c>
      <c r="E176" t="s">
        <v>1</v>
      </c>
      <c r="F176" t="s">
        <v>136</v>
      </c>
    </row>
    <row r="177" spans="4:12" x14ac:dyDescent="0.2">
      <c r="D177" t="s">
        <v>70</v>
      </c>
      <c r="E177" t="s">
        <v>1</v>
      </c>
      <c r="F177" t="s">
        <v>232</v>
      </c>
      <c r="G177" t="s">
        <v>137</v>
      </c>
      <c r="H177" t="s">
        <v>195</v>
      </c>
      <c r="L177" t="str">
        <f>F177&amp;G177&amp;H177</f>
        <v>Vector3-99.240250,-5.562537,-28.492371,</v>
      </c>
    </row>
    <row r="178" spans="4:12" x14ac:dyDescent="0.2">
      <c r="D178" t="s">
        <v>71</v>
      </c>
      <c r="E178" t="s">
        <v>1</v>
      </c>
      <c r="F178" t="s">
        <v>103</v>
      </c>
    </row>
    <row r="179" spans="4:12" x14ac:dyDescent="0.2">
      <c r="D179" t="s">
        <v>72</v>
      </c>
      <c r="E179" t="s">
        <v>1</v>
      </c>
      <c r="F179" t="s">
        <v>3</v>
      </c>
    </row>
    <row r="180" spans="4:12" x14ac:dyDescent="0.2">
      <c r="D180" t="s">
        <v>73</v>
      </c>
      <c r="E180" t="s">
        <v>1</v>
      </c>
      <c r="F180" t="s">
        <v>3</v>
      </c>
    </row>
    <row r="181" spans="4:12" x14ac:dyDescent="0.2">
      <c r="D181" t="s">
        <v>74</v>
      </c>
      <c r="E181" t="s">
        <v>1</v>
      </c>
      <c r="F181" t="s">
        <v>233</v>
      </c>
      <c r="L181" t="str">
        <f>F181&amp;G181&amp;H181</f>
        <v>{Vector3-99.240250,-5.562537,-28.492371},</v>
      </c>
    </row>
    <row r="182" spans="4:12" x14ac:dyDescent="0.2">
      <c r="D182" t="s">
        <v>75</v>
      </c>
      <c r="E182" t="s">
        <v>1</v>
      </c>
      <c r="F182" t="s">
        <v>104</v>
      </c>
    </row>
    <row r="183" spans="4:12" x14ac:dyDescent="0.2">
      <c r="D183" t="s">
        <v>90</v>
      </c>
    </row>
    <row r="184" spans="4:12" x14ac:dyDescent="0.2">
      <c r="D184" t="s">
        <v>138</v>
      </c>
      <c r="E184" t="s">
        <v>1</v>
      </c>
      <c r="F184" t="s">
        <v>81</v>
      </c>
    </row>
    <row r="185" spans="4:12" x14ac:dyDescent="0.2">
      <c r="D185" t="s">
        <v>2</v>
      </c>
      <c r="E185" t="s">
        <v>1</v>
      </c>
      <c r="F185" t="s">
        <v>139</v>
      </c>
    </row>
    <row r="186" spans="4:12" x14ac:dyDescent="0.2">
      <c r="D186" t="s">
        <v>70</v>
      </c>
      <c r="E186" t="s">
        <v>1</v>
      </c>
      <c r="F186" t="s">
        <v>234</v>
      </c>
      <c r="G186" t="s">
        <v>140</v>
      </c>
      <c r="H186" t="s">
        <v>196</v>
      </c>
      <c r="L186" t="str">
        <f>F186&amp;G186&amp;H186</f>
        <v>Vector3-60.648998,-6.524339,-31.381584,</v>
      </c>
    </row>
    <row r="187" spans="4:12" x14ac:dyDescent="0.2">
      <c r="D187" t="s">
        <v>71</v>
      </c>
      <c r="E187" t="s">
        <v>1</v>
      </c>
      <c r="F187" t="s">
        <v>103</v>
      </c>
    </row>
    <row r="188" spans="4:12" x14ac:dyDescent="0.2">
      <c r="D188" t="s">
        <v>72</v>
      </c>
      <c r="E188" t="s">
        <v>1</v>
      </c>
      <c r="F188" t="s">
        <v>3</v>
      </c>
    </row>
    <row r="189" spans="4:12" x14ac:dyDescent="0.2">
      <c r="D189" t="s">
        <v>73</v>
      </c>
      <c r="E189" t="s">
        <v>1</v>
      </c>
      <c r="F189" t="s">
        <v>3</v>
      </c>
    </row>
    <row r="190" spans="4:12" x14ac:dyDescent="0.2">
      <c r="D190" t="s">
        <v>74</v>
      </c>
      <c r="E190" t="s">
        <v>1</v>
      </c>
      <c r="F190" t="s">
        <v>235</v>
      </c>
      <c r="L190" t="str">
        <f>F190&amp;G190&amp;H190</f>
        <v>{Vector3-60.648998,-6.524339,-31.381584},</v>
      </c>
    </row>
    <row r="191" spans="4:12" x14ac:dyDescent="0.2">
      <c r="D191" t="s">
        <v>75</v>
      </c>
      <c r="E191" t="s">
        <v>1</v>
      </c>
      <c r="F191" t="s">
        <v>104</v>
      </c>
    </row>
    <row r="192" spans="4:12" x14ac:dyDescent="0.2">
      <c r="D192" t="s">
        <v>90</v>
      </c>
    </row>
    <row r="193" spans="3:12" x14ac:dyDescent="0.2">
      <c r="D193" t="s">
        <v>141</v>
      </c>
      <c r="E193" t="s">
        <v>1</v>
      </c>
      <c r="F193" t="s">
        <v>81</v>
      </c>
    </row>
    <row r="194" spans="3:12" x14ac:dyDescent="0.2">
      <c r="D194" t="s">
        <v>2</v>
      </c>
      <c r="E194" t="s">
        <v>1</v>
      </c>
      <c r="F194" t="s">
        <v>142</v>
      </c>
    </row>
    <row r="195" spans="3:12" x14ac:dyDescent="0.2">
      <c r="D195" t="s">
        <v>70</v>
      </c>
      <c r="E195" t="s">
        <v>1</v>
      </c>
      <c r="F195" t="s">
        <v>236</v>
      </c>
      <c r="G195" t="s">
        <v>143</v>
      </c>
      <c r="H195" t="s">
        <v>197</v>
      </c>
      <c r="L195" t="str">
        <f>F195&amp;G195&amp;H195</f>
        <v>Vector3-153.982224,-0.612609,110.591949,</v>
      </c>
    </row>
    <row r="196" spans="3:12" x14ac:dyDescent="0.2">
      <c r="D196" t="s">
        <v>71</v>
      </c>
      <c r="E196" t="s">
        <v>1</v>
      </c>
      <c r="F196" t="s">
        <v>103</v>
      </c>
    </row>
    <row r="197" spans="3:12" x14ac:dyDescent="0.2">
      <c r="D197" t="s">
        <v>72</v>
      </c>
      <c r="E197" t="s">
        <v>1</v>
      </c>
      <c r="F197" t="s">
        <v>3</v>
      </c>
    </row>
    <row r="198" spans="3:12" x14ac:dyDescent="0.2">
      <c r="D198" t="s">
        <v>73</v>
      </c>
      <c r="E198" t="s">
        <v>1</v>
      </c>
      <c r="F198" t="s">
        <v>3</v>
      </c>
    </row>
    <row r="199" spans="3:12" x14ac:dyDescent="0.2">
      <c r="D199" t="s">
        <v>74</v>
      </c>
      <c r="E199" t="s">
        <v>1</v>
      </c>
      <c r="F199" t="s">
        <v>237</v>
      </c>
      <c r="L199" t="str">
        <f>F199&amp;G199&amp;H199</f>
        <v>{Vector3-153.982224,-0.612609,110.591949},</v>
      </c>
    </row>
    <row r="200" spans="3:12" x14ac:dyDescent="0.2">
      <c r="D200" t="s">
        <v>75</v>
      </c>
      <c r="E200" t="s">
        <v>1</v>
      </c>
      <c r="F200" t="s">
        <v>104</v>
      </c>
    </row>
    <row r="201" spans="3:12" x14ac:dyDescent="0.2">
      <c r="D201" t="s">
        <v>144</v>
      </c>
    </row>
    <row r="202" spans="3:12" x14ac:dyDescent="0.2">
      <c r="C202" t="s">
        <v>144</v>
      </c>
    </row>
    <row r="204" spans="3:12" x14ac:dyDescent="0.2">
      <c r="C204" t="s">
        <v>145</v>
      </c>
      <c r="D204" t="s">
        <v>80</v>
      </c>
    </row>
    <row r="218" spans="4:6" x14ac:dyDescent="0.2">
      <c r="D218">
        <v>1</v>
      </c>
      <c r="E218" t="s">
        <v>165</v>
      </c>
      <c r="F218">
        <v>25</v>
      </c>
    </row>
    <row r="219" spans="4:6" x14ac:dyDescent="0.2">
      <c r="D219">
        <v>2</v>
      </c>
      <c r="E219" t="s">
        <v>166</v>
      </c>
      <c r="F219">
        <v>13</v>
      </c>
    </row>
    <row r="220" spans="4:6" x14ac:dyDescent="0.2">
      <c r="D220">
        <v>3</v>
      </c>
      <c r="E220" t="s">
        <v>167</v>
      </c>
      <c r="F220">
        <v>25</v>
      </c>
    </row>
    <row r="221" spans="4:6" x14ac:dyDescent="0.2">
      <c r="D221">
        <v>4</v>
      </c>
      <c r="E221" t="s">
        <v>168</v>
      </c>
      <c r="F221">
        <v>30</v>
      </c>
    </row>
    <row r="222" spans="4:6" x14ac:dyDescent="0.2">
      <c r="D222">
        <v>5</v>
      </c>
      <c r="E222" t="s">
        <v>169</v>
      </c>
      <c r="F222">
        <v>25</v>
      </c>
    </row>
    <row r="230" spans="2:10" x14ac:dyDescent="0.2">
      <c r="B230" t="str">
        <f>"{[1]={" &amp; C235</f>
        <v>{[1]={Vector3(</v>
      </c>
    </row>
    <row r="235" spans="2:10" x14ac:dyDescent="0.2">
      <c r="B235" t="s">
        <v>170</v>
      </c>
      <c r="C235" t="s">
        <v>243</v>
      </c>
      <c r="D235" s="2" t="s">
        <v>244</v>
      </c>
      <c r="E235" t="s">
        <v>297</v>
      </c>
      <c r="G235" t="str">
        <f>B235&amp;C235&amp;$E$235&amp;D235&amp;C235&amp;$E$236&amp;D235&amp;C235&amp;$E$237&amp;D236</f>
        <v>{Vector3((97.194099,-10.539500,12.987900)),Vector3((107.983803,-10.539500,12.987900)),Vector3((87.392601,-10.539500,28.084202))}</v>
      </c>
      <c r="J235" t="s">
        <v>246</v>
      </c>
    </row>
    <row r="236" spans="2:10" x14ac:dyDescent="0.2">
      <c r="D236" s="2" t="s">
        <v>245</v>
      </c>
      <c r="E236" t="s">
        <v>298</v>
      </c>
      <c r="G236" t="str">
        <f>$B$239&amp;$C$239&amp;$E$239&amp;$D$239&amp;$C$239&amp;$E$240&amp;$D$239&amp;$C$239&amp;$E$241&amp;$D$240</f>
        <v>{Vector3((-135.006897,-0.845700,26.263000)),Vector3((-139.241608,-0.845700,31.291901)),Vector3((-152.406509,-0.845700,25.132101))}</v>
      </c>
      <c r="J236" t="s">
        <v>247</v>
      </c>
    </row>
    <row r="237" spans="2:10" x14ac:dyDescent="0.2">
      <c r="D237" s="2"/>
      <c r="E237" t="s">
        <v>299</v>
      </c>
      <c r="G237" t="str">
        <f>$B$243&amp;$C$243&amp;$E$243&amp;$D$243&amp;$C$243&amp;$E$244&amp;$D$243&amp;$C$243&amp;E$245&amp;$D$244</f>
        <v>{Vector3((-64.820877,13.711600,89.634903)),Vector3((-58.601181,7.993800,69.924698)),Vector3((-53.503479,13.700900,86.452003))}</v>
      </c>
      <c r="J237" t="s">
        <v>248</v>
      </c>
    </row>
    <row r="238" spans="2:10" x14ac:dyDescent="0.2">
      <c r="G238" t="str">
        <f>$B$247&amp;$C$247&amp;$E$247&amp;$D$247&amp;$C$247&amp;$E$248&amp;$D$247&amp;$C$247&amp;$E$249&amp;$D$248</f>
        <v>{Vector3((-130.210999,-2.350300,97.470001)),Vector3((-125.626701,-2.350300,85.143204)),Vector3((-139.915710,-2.350300,114.949203))}</v>
      </c>
      <c r="J238" t="s">
        <v>249</v>
      </c>
    </row>
    <row r="239" spans="2:10" x14ac:dyDescent="0.2">
      <c r="B239" t="s">
        <v>170</v>
      </c>
      <c r="C239" t="s">
        <v>243</v>
      </c>
      <c r="D239" s="2" t="s">
        <v>244</v>
      </c>
      <c r="E239" t="s">
        <v>300</v>
      </c>
      <c r="G239" t="str">
        <f>$B$251&amp;$C$251&amp;$E$251&amp;$D$251&amp;$C$251&amp;$E$252&amp;$D$251&amp;$C$251&amp;$E$253&amp;$D$252</f>
        <v>{Vector3((-83.424911,-10.558600,23.395599)),Vector3((-88.207809,-10.558600,40.867401)),Vector3((-100.728409,-7.935700,8.450098))}</v>
      </c>
      <c r="J239" t="s">
        <v>250</v>
      </c>
    </row>
    <row r="240" spans="2:10" x14ac:dyDescent="0.2">
      <c r="D240" s="2" t="s">
        <v>245</v>
      </c>
      <c r="E240" t="s">
        <v>301</v>
      </c>
    </row>
    <row r="241" spans="2:5" x14ac:dyDescent="0.2">
      <c r="D241" s="2"/>
      <c r="E241" t="s">
        <v>302</v>
      </c>
    </row>
    <row r="243" spans="2:5" x14ac:dyDescent="0.2">
      <c r="B243" t="s">
        <v>170</v>
      </c>
      <c r="C243" t="s">
        <v>243</v>
      </c>
      <c r="D243" s="2" t="s">
        <v>244</v>
      </c>
      <c r="E243" t="s">
        <v>303</v>
      </c>
    </row>
    <row r="244" spans="2:5" x14ac:dyDescent="0.2">
      <c r="D244" s="2" t="s">
        <v>245</v>
      </c>
      <c r="E244" t="s">
        <v>304</v>
      </c>
    </row>
    <row r="245" spans="2:5" x14ac:dyDescent="0.2">
      <c r="D245" s="2"/>
      <c r="E245" t="s">
        <v>305</v>
      </c>
    </row>
    <row r="247" spans="2:5" x14ac:dyDescent="0.2">
      <c r="B247" t="s">
        <v>170</v>
      </c>
      <c r="C247" t="s">
        <v>243</v>
      </c>
      <c r="D247" s="2" t="s">
        <v>244</v>
      </c>
      <c r="E247" t="s">
        <v>306</v>
      </c>
    </row>
    <row r="248" spans="2:5" x14ac:dyDescent="0.2">
      <c r="D248" s="2" t="s">
        <v>245</v>
      </c>
      <c r="E248" t="s">
        <v>308</v>
      </c>
    </row>
    <row r="249" spans="2:5" x14ac:dyDescent="0.2">
      <c r="D249" s="2"/>
      <c r="E249" t="s">
        <v>307</v>
      </c>
    </row>
    <row r="251" spans="2:5" x14ac:dyDescent="0.2">
      <c r="B251" t="s">
        <v>170</v>
      </c>
      <c r="C251" t="s">
        <v>243</v>
      </c>
      <c r="D251" s="2" t="s">
        <v>244</v>
      </c>
      <c r="E251" t="s">
        <v>309</v>
      </c>
    </row>
    <row r="252" spans="2:5" x14ac:dyDescent="0.2">
      <c r="D252" s="2" t="s">
        <v>245</v>
      </c>
      <c r="E252" t="s">
        <v>311</v>
      </c>
    </row>
    <row r="253" spans="2:5" x14ac:dyDescent="0.2">
      <c r="D253" s="2"/>
      <c r="E253" t="s">
        <v>310</v>
      </c>
    </row>
    <row r="271" spans="1:5" x14ac:dyDescent="0.2">
      <c r="A271" s="2" t="s">
        <v>174</v>
      </c>
      <c r="B271">
        <v>1</v>
      </c>
      <c r="C271" t="s">
        <v>176</v>
      </c>
      <c r="D271" t="s">
        <v>238</v>
      </c>
      <c r="E271">
        <v>25</v>
      </c>
    </row>
    <row r="272" spans="1:5" x14ac:dyDescent="0.2">
      <c r="A272" s="2" t="s">
        <v>174</v>
      </c>
      <c r="B272">
        <v>2</v>
      </c>
      <c r="C272" t="s">
        <v>177</v>
      </c>
      <c r="D272" t="s">
        <v>239</v>
      </c>
      <c r="E272">
        <v>13</v>
      </c>
    </row>
    <row r="273" spans="1:5" x14ac:dyDescent="0.2">
      <c r="A273" s="2" t="s">
        <v>174</v>
      </c>
      <c r="B273">
        <v>3</v>
      </c>
      <c r="C273" t="s">
        <v>176</v>
      </c>
      <c r="D273" t="s">
        <v>240</v>
      </c>
      <c r="E273">
        <v>25</v>
      </c>
    </row>
    <row r="274" spans="1:5" x14ac:dyDescent="0.2">
      <c r="A274" s="2" t="s">
        <v>174</v>
      </c>
      <c r="B274">
        <v>4</v>
      </c>
      <c r="C274" t="s">
        <v>177</v>
      </c>
      <c r="D274" t="s">
        <v>241</v>
      </c>
      <c r="E274">
        <v>30</v>
      </c>
    </row>
    <row r="275" spans="1:5" x14ac:dyDescent="0.2">
      <c r="A275" s="2" t="s">
        <v>175</v>
      </c>
      <c r="B275">
        <v>5</v>
      </c>
      <c r="C275" t="s">
        <v>177</v>
      </c>
      <c r="D275" t="s">
        <v>242</v>
      </c>
      <c r="E275">
        <v>25</v>
      </c>
    </row>
    <row r="308" spans="1:4" x14ac:dyDescent="0.2">
      <c r="A308" s="2" t="s">
        <v>261</v>
      </c>
      <c r="B308">
        <v>1</v>
      </c>
      <c r="C308" t="s">
        <v>332</v>
      </c>
      <c r="D308" t="s">
        <v>262</v>
      </c>
    </row>
    <row r="309" spans="1:4" x14ac:dyDescent="0.2">
      <c r="A309" s="2" t="s">
        <v>261</v>
      </c>
      <c r="B309">
        <v>2</v>
      </c>
      <c r="C309" t="s">
        <v>333</v>
      </c>
      <c r="D309" t="s">
        <v>263</v>
      </c>
    </row>
    <row r="310" spans="1:4" x14ac:dyDescent="0.2">
      <c r="A310" s="2" t="s">
        <v>261</v>
      </c>
      <c r="B310">
        <v>3</v>
      </c>
      <c r="C310" t="s">
        <v>334</v>
      </c>
      <c r="D310" t="s">
        <v>264</v>
      </c>
    </row>
    <row r="311" spans="1:4" x14ac:dyDescent="0.2">
      <c r="A311" s="2" t="s">
        <v>261</v>
      </c>
      <c r="B311">
        <v>4</v>
      </c>
      <c r="C311" t="s">
        <v>335</v>
      </c>
      <c r="D311" t="s">
        <v>265</v>
      </c>
    </row>
    <row r="312" spans="1:4" x14ac:dyDescent="0.2">
      <c r="A312" s="2" t="s">
        <v>261</v>
      </c>
      <c r="B312">
        <v>5</v>
      </c>
      <c r="C312" t="s">
        <v>336</v>
      </c>
      <c r="D312" t="s">
        <v>266</v>
      </c>
    </row>
    <row r="313" spans="1:4" x14ac:dyDescent="0.2">
      <c r="A313" s="2" t="s">
        <v>261</v>
      </c>
      <c r="B313">
        <v>6</v>
      </c>
      <c r="C313" t="s">
        <v>337</v>
      </c>
      <c r="D313" t="s">
        <v>267</v>
      </c>
    </row>
    <row r="314" spans="1:4" x14ac:dyDescent="0.2">
      <c r="A314" s="2" t="s">
        <v>261</v>
      </c>
      <c r="B314">
        <v>7</v>
      </c>
      <c r="C314" t="s">
        <v>338</v>
      </c>
      <c r="D314" t="s">
        <v>268</v>
      </c>
    </row>
    <row r="315" spans="1:4" x14ac:dyDescent="0.2">
      <c r="A315" s="2" t="s">
        <v>261</v>
      </c>
      <c r="B315">
        <v>8</v>
      </c>
      <c r="C315" t="s">
        <v>339</v>
      </c>
      <c r="D315" t="s">
        <v>269</v>
      </c>
    </row>
    <row r="316" spans="1:4" x14ac:dyDescent="0.2">
      <c r="A316" s="2" t="s">
        <v>261</v>
      </c>
      <c r="B316">
        <v>9</v>
      </c>
      <c r="C316" t="s">
        <v>340</v>
      </c>
      <c r="D316" t="s">
        <v>270</v>
      </c>
    </row>
    <row r="317" spans="1:4" x14ac:dyDescent="0.2">
      <c r="A317" s="2" t="s">
        <v>261</v>
      </c>
      <c r="B317">
        <v>10</v>
      </c>
      <c r="C317" t="s">
        <v>341</v>
      </c>
      <c r="D317" t="s">
        <v>271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输出刷新点_Click">
                <anchor moveWithCells="1" sizeWithCells="1">
                  <from>
                    <xdr:col>1</xdr:col>
                    <xdr:colOff>47625</xdr:colOff>
                    <xdr:row>3</xdr:row>
                    <xdr:rowOff>19050</xdr:rowOff>
                  </from>
                  <to>
                    <xdr:col>1</xdr:col>
                    <xdr:colOff>3133725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output_Animal</vt:lpstr>
      <vt:lpstr>output_AnimalArea</vt:lpstr>
      <vt:lpstr>配置工具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2021-02-25T09:08:03Z</dcterms:modified>
</cp:coreProperties>
</file>