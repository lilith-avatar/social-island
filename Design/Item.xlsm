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2F3C65B4-6273-4C6D-A260-E159D65A2CF7}" xr6:coauthVersionLast="36" xr6:coauthVersionMax="36" xr10:uidLastSave="{00000000-0000-0000-0000-000000000000}"/>
  <bookViews>
    <workbookView xWindow="0" yWindow="0" windowWidth="22260" windowHeight="12645" firstSheet="4" activeTab="10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WeaponItem" sheetId="6" r:id="rId4"/>
    <sheet name="output_MedicineItem" sheetId="7" r:id="rId5"/>
    <sheet name="output_ThrowItem" sheetId="8" r:id="rId6"/>
    <sheet name="output_PickItem" sheetId="3" r:id="rId7"/>
    <sheet name="output_PutItem" sheetId="10" r:id="rId8"/>
    <sheet name="output_TaskItem" sheetId="11" r:id="rId9"/>
    <sheet name="output_RubbishItem" sheetId="9" r:id="rId10"/>
    <sheet name="output_Buff" sheetId="4" r:id="rId11"/>
    <sheet name="output_Skin" sheetId="5" r:id="rId12"/>
    <sheet name="output_PetItem" sheetId="12" r:id="rId13"/>
    <sheet name="output_PetFeedItem" sheetId="13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8" l="1"/>
  <c r="F5" i="7"/>
</calcChain>
</file>

<file path=xl/sharedStrings.xml><?xml version="1.0" encoding="utf-8"?>
<sst xmlns="http://schemas.openxmlformats.org/spreadsheetml/2006/main" count="520" uniqueCount="252">
  <si>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</si>
  <si>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</si>
  <si>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</si>
  <si>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</si>
  <si>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</si>
  <si>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</si>
  <si>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</si>
  <si>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</si>
  <si>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</si>
  <si>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</si>
  <si>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</si>
  <si>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</si>
  <si>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</si>
  <si>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</si>
  <si>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</si>
  <si>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</si>
  <si>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</si>
  <si>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</si>
  <si>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</si>
  <si>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</si>
  <si>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</si>
  <si>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</si>
  <si>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</si>
  <si>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</si>
  <si>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</si>
  <si>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</si>
  <si>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</si>
  <si>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</si>
  <si>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</si>
  <si>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</si>
  <si>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</si>
  <si>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</si>
  <si>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</si>
  <si>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</si>
  <si>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</si>
  <si>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</si>
  <si>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</si>
  <si>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</si>
  <si>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</si>
  <si>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</si>
  <si>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</si>
  <si>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</si>
  <si>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</si>
  <si>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</si>
  <si>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</si>
  <si>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</si>
  <si>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</si>
  <si>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</si>
  <si>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</si>
  <si>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体形改变率</t>
    <phoneticPr fontId="3" type="noConversion"/>
  </si>
  <si>
    <t>脑袋大小变化率</t>
    <phoneticPr fontId="3" type="noConversion"/>
  </si>
  <si>
    <t>胖瘦改变率</t>
    <phoneticPr fontId="3" type="noConversion"/>
  </si>
  <si>
    <t>BUFF悬挂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</si>
  <si>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</si>
  <si>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</si>
  <si>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</si>
  <si>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服装ID</t>
    <phoneticPr fontId="3" type="noConversion"/>
  </si>
  <si>
    <t>动作状态</t>
    <phoneticPr fontId="3" type="noConversion"/>
  </si>
  <si>
    <t>BUFF</t>
    <phoneticPr fontId="3" type="noConversion"/>
  </si>
  <si>
    <t>SizeChange</t>
    <phoneticPr fontId="3" type="noConversion"/>
  </si>
  <si>
    <t>HeadSizeChange</t>
    <phoneticPr fontId="3" type="noConversion"/>
  </si>
  <si>
    <t>WidthChange</t>
    <phoneticPr fontId="3" type="noConversion"/>
  </si>
  <si>
    <t>KeepEffect</t>
    <phoneticPr fontId="3" type="noConversion"/>
  </si>
  <si>
    <t>SpeedChange</t>
    <phoneticPr fontId="3" type="noConversion"/>
  </si>
  <si>
    <t>JumpChange</t>
    <phoneticPr fontId="3" type="noConversion"/>
  </si>
  <si>
    <t>GravityChange</t>
    <phoneticPr fontId="3" type="noConversion"/>
  </si>
  <si>
    <t>SkinId</t>
    <phoneticPr fontId="3" type="noConversion"/>
  </si>
  <si>
    <t>KeepAnim</t>
    <phoneticPr fontId="3" type="noConversion"/>
  </si>
  <si>
    <t>Float</t>
    <phoneticPr fontId="3" type="noConversion"/>
  </si>
  <si>
    <t>Lua</t>
    <phoneticPr fontId="3" type="noConversion"/>
  </si>
  <si>
    <t>Onfire</t>
    <phoneticPr fontId="3" type="noConversion"/>
  </si>
  <si>
    <t>物品ID</t>
    <phoneticPr fontId="3" type="noConversion"/>
  </si>
  <si>
    <t>模型</t>
    <phoneticPr fontId="3" type="noConversion"/>
  </si>
  <si>
    <t>对应物品ID</t>
    <phoneticPr fontId="3" type="noConversion"/>
  </si>
  <si>
    <t>Archetype</t>
    <phoneticPr fontId="3" type="noConversion"/>
  </si>
  <si>
    <t>ItemId</t>
    <phoneticPr fontId="3" type="noConversion"/>
  </si>
  <si>
    <t>暴怒的大魔王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</si>
  <si>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</si>
  <si>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</si>
  <si>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</si>
  <si>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</si>
  <si>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使用动作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</si>
  <si>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</si>
  <si>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</si>
  <si>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</si>
  <si>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</si>
  <si>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</si>
  <si>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</si>
  <si>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使用获得奖券</t>
    <phoneticPr fontId="3" type="noConversion"/>
  </si>
  <si>
    <t>攻击范围</t>
    <phoneticPr fontId="3" type="noConversion"/>
  </si>
  <si>
    <t>爆炸范围</t>
    <phoneticPr fontId="3" type="noConversion"/>
  </si>
  <si>
    <t>生命值影响</t>
    <phoneticPr fontId="3" type="noConversion"/>
  </si>
  <si>
    <t>使用增加BUFF</t>
    <phoneticPr fontId="3" type="noConversion"/>
  </si>
  <si>
    <t>使用消除BUFF</t>
    <phoneticPr fontId="3" type="noConversion"/>
  </si>
  <si>
    <t>命中增加BUFF</t>
    <phoneticPr fontId="3" type="noConversion"/>
  </si>
  <si>
    <t>命中移除BUFF</t>
    <phoneticPr fontId="3" type="noConversion"/>
  </si>
  <si>
    <t>命中特效</t>
    <phoneticPr fontId="3" type="noConversion"/>
  </si>
  <si>
    <t>受击动作</t>
    <phoneticPr fontId="3" type="noConversion"/>
  </si>
  <si>
    <t>使用音效</t>
    <phoneticPr fontId="3" type="noConversion"/>
  </si>
  <si>
    <t>命中音效</t>
    <phoneticPr fontId="3" type="noConversion"/>
  </si>
  <si>
    <t>场景交互道具ID</t>
    <phoneticPr fontId="3" type="noConversion"/>
  </si>
  <si>
    <t>宠物ID</t>
    <phoneticPr fontId="3" type="noConversion"/>
  </si>
  <si>
    <t>宠物生命值增加值</t>
    <phoneticPr fontId="3" type="noConversion"/>
  </si>
  <si>
    <t>宠物攻击力增加值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</si>
  <si>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</si>
  <si>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</si>
  <si>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</si>
  <si>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</si>
  <si>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Model</t>
    <phoneticPr fontId="3" type="noConversion"/>
  </si>
  <si>
    <t>AnimUse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</si>
  <si>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</si>
  <si>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</si>
  <si>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</si>
  <si>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</si>
  <si>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</si>
  <si>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</si>
  <si>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SellGold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</si>
  <si>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</si>
  <si>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</si>
  <si>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</si>
  <si>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UseAddBuff</t>
    <phoneticPr fontId="3" type="noConversion"/>
  </si>
  <si>
    <t>HitAddBuff</t>
    <phoneticPr fontId="3" type="noConversion"/>
  </si>
  <si>
    <t>HitRemoveBuff</t>
    <phoneticPr fontId="3" type="noConversion"/>
  </si>
  <si>
    <t>HitEffect</t>
    <phoneticPr fontId="3" type="noConversion"/>
  </si>
  <si>
    <t>HitAnim</t>
    <phoneticPr fontId="3" type="noConversion"/>
  </si>
  <si>
    <t>UseSound</t>
    <phoneticPr fontId="3" type="noConversion"/>
  </si>
  <si>
    <t>HitSound</t>
    <phoneticPr fontId="3" type="noConversion"/>
  </si>
  <si>
    <t>PickItemId</t>
    <phoneticPr fontId="3" type="noConversion"/>
  </si>
  <si>
    <t>PetId</t>
    <phoneticPr fontId="3" type="noConversion"/>
  </si>
  <si>
    <t>PetHealthIncreace</t>
    <phoneticPr fontId="3" type="noConversion"/>
  </si>
  <si>
    <t>PetAttackIncreace</t>
    <phoneticPr fontId="3" type="noConversion"/>
  </si>
  <si>
    <t>Int</t>
    <phoneticPr fontId="3" type="noConversion"/>
  </si>
  <si>
    <t>Int[]</t>
    <phoneticPr fontId="3" type="noConversion"/>
  </si>
  <si>
    <t>Ico_Sword</t>
    <phoneticPr fontId="3" type="noConversion"/>
  </si>
  <si>
    <t>M_Sword</t>
    <phoneticPr fontId="3" type="noConversion"/>
  </si>
  <si>
    <t>Ico_Boom</t>
    <phoneticPr fontId="3" type="noConversion"/>
  </si>
  <si>
    <t>Ico_MagicStick</t>
    <phoneticPr fontId="3" type="noConversion"/>
  </si>
  <si>
    <t>TurnAround</t>
    <phoneticPr fontId="3" type="noConversion"/>
  </si>
  <si>
    <t>1,60</t>
    <phoneticPr fontId="3" type="noConversion"/>
  </si>
  <si>
    <t>2,3,10,4,5,6,7,8,9</t>
    <phoneticPr fontId="3" type="noConversion"/>
  </si>
  <si>
    <t>Fire_Explosion</t>
    <phoneticPr fontId="3" type="noConversion"/>
  </si>
  <si>
    <t>Ico_FireBowl</t>
    <phoneticPr fontId="3" type="noConversion"/>
  </si>
  <si>
    <t>M_FireBowl</t>
    <phoneticPr fontId="3" type="noConversion"/>
  </si>
  <si>
    <t>Equip</t>
    <phoneticPr fontId="3" type="noConversion"/>
  </si>
  <si>
    <t>Ico_lolipop</t>
    <phoneticPr fontId="3" type="noConversion"/>
  </si>
  <si>
    <t>Eat</t>
    <phoneticPr fontId="3" type="noConversion"/>
  </si>
  <si>
    <t>Ico_Card</t>
    <phoneticPr fontId="3" type="noConversion"/>
  </si>
  <si>
    <t>Ico_PigSkin</t>
    <phoneticPr fontId="3" type="noConversion"/>
  </si>
  <si>
    <t>Ico_Pet</t>
    <phoneticPr fontId="3" type="noConversion"/>
  </si>
  <si>
    <t>Ico_Memory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</si>
  <si>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</si>
  <si>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</si>
  <si>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</si>
  <si>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</si>
  <si>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</si>
  <si>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</si>
  <si>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</si>
  <si>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</si>
  <si>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</si>
  <si>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</si>
  <si>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</si>
  <si>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</si>
  <si>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</si>
  <si>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</si>
  <si>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{[2]=fire}</t>
    <phoneticPr fontId="3" type="noConversion"/>
  </si>
  <si>
    <t>光剑</t>
    <phoneticPr fontId="4" type="noConversion"/>
  </si>
  <si>
    <t>不稳定的炸弹</t>
    <phoneticPr fontId="4" type="noConversion"/>
  </si>
  <si>
    <t>奥特曼的变身棒</t>
    <phoneticPr fontId="4" type="noConversion"/>
  </si>
  <si>
    <t>烈焰弓</t>
    <phoneticPr fontId="4" type="noConversion"/>
  </si>
  <si>
    <t>魔法棒棒糖</t>
    <phoneticPr fontId="4" type="noConversion"/>
  </si>
  <si>
    <t>Toji的房卡</t>
    <phoneticPr fontId="4" type="noConversion"/>
  </si>
  <si>
    <t>野猪皮</t>
    <phoneticPr fontId="4" type="noConversion"/>
  </si>
  <si>
    <t>微型战斗机器人N9</t>
    <phoneticPr fontId="4" type="noConversion"/>
  </si>
  <si>
    <t>战斗机器人内存卡</t>
    <phoneticPr fontId="4" type="noConversion"/>
  </si>
  <si>
    <t>星球大战</t>
    <phoneticPr fontId="4" type="noConversion"/>
  </si>
  <si>
    <t>嘀嘀嘀的响</t>
    <phoneticPr fontId="4" type="noConversion"/>
  </si>
  <si>
    <t>如果能量无限就好了</t>
    <phoneticPr fontId="4" type="noConversion"/>
  </si>
  <si>
    <t>射出火箭</t>
    <phoneticPr fontId="4" type="noConversion"/>
  </si>
  <si>
    <t>大魔王最喜欢的食物</t>
    <phoneticPr fontId="4" type="noConversion"/>
  </si>
  <si>
    <t>怎么野猪身上会有这种东西?</t>
    <phoneticPr fontId="4" type="noConversion"/>
  </si>
  <si>
    <t>野猪的皮，怎么感觉纹理像外星人的头？</t>
    <phoneticPr fontId="4" type="noConversion"/>
  </si>
  <si>
    <t>很有灵性的样子</t>
    <phoneticPr fontId="4" type="noConversion"/>
  </si>
  <si>
    <t>机器人的教科书</t>
    <phoneticPr fontId="4" type="noConversion"/>
  </si>
  <si>
    <t>Translate</t>
  </si>
  <si>
    <t>Euler</t>
    <phoneticPr fontId="3" type="noConversion"/>
  </si>
  <si>
    <t>啊，那天真是令人怀念，谢谢你！</t>
  </si>
  <si>
    <t>TwoHandedSwordAttack1</t>
  </si>
  <si>
    <t>ThrowLowCharge</t>
    <phoneticPr fontId="3" type="noConversion"/>
  </si>
  <si>
    <t>交互类型,1为拾取，2为使用，3为装备。</t>
    <phoneticPr fontId="3" type="noConversion"/>
  </si>
  <si>
    <t>存在时间</t>
    <phoneticPr fontId="3" type="noConversion"/>
  </si>
  <si>
    <t>可使用次数</t>
    <phoneticPr fontId="3" type="noConversion"/>
  </si>
  <si>
    <t>Type</t>
    <phoneticPr fontId="3" type="noConversion"/>
  </si>
  <si>
    <t>LifeTime</t>
    <phoneticPr fontId="3" type="noConversion"/>
  </si>
  <si>
    <t>Durability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</si>
  <si>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</si>
  <si>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</si>
  <si>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</si>
  <si>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</si>
  <si>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</si>
  <si>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</si>
  <si>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</si>
  <si>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</si>
  <si>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</si>
  <si>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</si>
  <si>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</si>
  <si>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</si>
  <si>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</si>
  <si>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</si>
  <si>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</si>
  <si>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</si>
  <si>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</si>
  <si>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</si>
  <si>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</si>
  <si>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</si>
  <si>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</si>
  <si>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</si>
  <si>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</si>
  <si>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</si>
  <si>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</si>
  <si>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</si>
  <si>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</si>
  <si>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</si>
  <si>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</si>
  <si>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</si>
  <si>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</si>
  <si>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</si>
  <si>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</si>
  <si>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</si>
  <si>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</si>
  <si>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</si>
  <si>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</si>
  <si>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</si>
  <si>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微型战斗机器人N9</t>
  </si>
  <si>
    <t>很有灵性的样子</t>
  </si>
  <si>
    <t>Ico_Pet</t>
  </si>
  <si>
    <t>战斗机器人内存卡</t>
  </si>
  <si>
    <t>机器人的教科书</t>
  </si>
  <si>
    <t>Ico_Memory</t>
  </si>
  <si>
    <t>Comment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</si>
  <si>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</si>
  <si>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</si>
  <si>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</si>
  <si>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</si>
  <si>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</si>
  <si>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</si>
  <si>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使用增加BUFF</t>
    <phoneticPr fontId="3" type="noConversion"/>
  </si>
  <si>
    <t>使用移除BUFF</t>
    <phoneticPr fontId="3" type="noConversion"/>
  </si>
  <si>
    <t>是否是装备</t>
    <phoneticPr fontId="3" type="noConversion"/>
  </si>
  <si>
    <t>IsEquipment</t>
    <phoneticPr fontId="3" type="noConversion"/>
  </si>
  <si>
    <t>左侧是否不叠加，若为True则左侧属性以这一条BUFF为准，若False则累乘，若获得第二条True则删掉第一条。</t>
    <phoneticPr fontId="3" type="noConversion"/>
  </si>
  <si>
    <t>NotMultiplicative</t>
    <phoneticPr fontId="3" type="noConversion"/>
  </si>
  <si>
    <t>Bool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</si>
</sst>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0"/>
      <color theme="1"/>
      <name val="微软雅黑"/>
      <family val="2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5" fillId="0" borderId="3" xfId="1" applyNumberFormat="1" applyFont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0" fillId="0" borderId="1" xfId="0" applyBorder="1"/>
    <xf numFmtId="0" fontId="5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 applyProtection="1"/>
    <xf numFmtId="0" fontId="8" fillId="3" borderId="0" xfId="0" applyFont="1" applyFill="1"/>
    <xf numFmtId="0" fontId="9" fillId="3" borderId="0" xfId="0" applyFont="1" applyFill="1"/>
    <xf numFmtId="0" fontId="10" fillId="2" borderId="0" xfId="0" applyFont="1" applyFill="1"/>
    <xf numFmtId="0" fontId="7" fillId="2" borderId="0" xfId="2" applyFill="1"/>
    <xf numFmtId="0" fontId="11" fillId="2" borderId="0" xfId="2" applyFont="1" applyFill="1"/>
    <xf numFmtId="0" fontId="0" fillId="2" borderId="1" xfId="0" applyFill="1" applyBorder="1"/>
    <xf numFmtId="0" fontId="0" fillId="2" borderId="1" xfId="0" applyFill="1" applyBorder="1" applyAlignment="1">
      <alignment wrapText="1"/>
    </xf>
  </cellXfs>
  <cellStyles count="3">
    <cellStyle name="常规" xfId="0" builtinId="0"/>
    <cellStyle name="常规 3" xfId="1" xr:uid="{342D93F7-926A-4F6D-82E6-F0B023316472}"/>
    <cellStyle name="超链接" xfId="2" builtin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E273C-2ED7-4542-B2B2-4A2BE52565C6}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5" customFormat="1" ht="45" x14ac:dyDescent="0.6">
      <c r="A1" s="14" t="s">
        <v>194</v>
      </c>
    </row>
    <row r="3" spans="1:9" x14ac:dyDescent="0.2">
      <c r="C3" s="3" t="s">
        <v>195</v>
      </c>
    </row>
    <row r="5" spans="1:9" x14ac:dyDescent="0.2">
      <c r="C5" s="3" t="s">
        <v>196</v>
      </c>
    </row>
    <row r="7" spans="1:9" x14ac:dyDescent="0.2">
      <c r="C7" s="17" t="s">
        <v>197</v>
      </c>
      <c r="E7" s="17" t="s">
        <v>198</v>
      </c>
      <c r="G7" s="17" t="s">
        <v>199</v>
      </c>
      <c r="I7" s="17" t="s">
        <v>200</v>
      </c>
    </row>
    <row r="9" spans="1:9" x14ac:dyDescent="0.2">
      <c r="C9" s="17" t="s">
        <v>201</v>
      </c>
      <c r="E9" s="17" t="s">
        <v>202</v>
      </c>
      <c r="G9" s="17" t="s">
        <v>203</v>
      </c>
      <c r="I9" s="17" t="s">
        <v>204</v>
      </c>
    </row>
    <row r="12" spans="1:9" ht="24.75" customHeight="1" x14ac:dyDescent="0.35">
      <c r="B12" s="16" t="s">
        <v>205</v>
      </c>
    </row>
    <row r="13" spans="1:9" ht="27" customHeight="1" x14ac:dyDescent="0.2">
      <c r="C13" s="17" t="s">
        <v>206</v>
      </c>
    </row>
    <row r="14" spans="1:9" ht="39" customHeight="1" x14ac:dyDescent="0.2">
      <c r="C14" s="17" t="s">
        <v>207</v>
      </c>
    </row>
    <row r="15" spans="1:9" ht="39" customHeight="1" x14ac:dyDescent="0.45">
      <c r="C15" s="17" t="s">
        <v>208</v>
      </c>
      <c r="I15" s="18" t="s">
        <v>210</v>
      </c>
    </row>
    <row r="16" spans="1:9" ht="30.75" customHeight="1" x14ac:dyDescent="0.2">
      <c r="C16" s="17" t="s">
        <v>209</v>
      </c>
    </row>
  </sheetData>
  <phoneticPr fontId="3" type="noConversion"/>
  <hyperlinks>
    <hyperlink ref="I15" r:id="rId1" xr:uid="{29DC48B7-5841-4F3B-9F98-FC2DA82655BA}"/>
    <hyperlink ref="C7" location="output_WeaponItem!A1" display="武器型道具" xr:uid="{B5D1B5B1-08A5-4078-AC46-7F596EBAD86B}"/>
    <hyperlink ref="E7" location="output_MedicineItem!A1" display="即时型道具" xr:uid="{4380FE47-E860-4217-8776-4720C4A33F03}"/>
    <hyperlink ref="G7" location="output_ThrowItem!A1" display="投掷型道具" xr:uid="{67BB8817-96EE-4289-A322-F7CB3947BF6E}"/>
    <hyperlink ref="I7" location="output_PutItem!A1" display="放置型道具" xr:uid="{41F7EFA2-218C-402C-8087-6CD7E8E4A7BB}"/>
    <hyperlink ref="C9" location="output_TaskItem!A1" display="任务道具" xr:uid="{5D727DE0-A5DD-4468-82E7-D9B037046183}"/>
    <hyperlink ref="E9" location="output_RubbishItem!A1" display="垃圾道具" xr:uid="{135AF908-DBF2-42BD-B38C-B67F996C8F0E}"/>
    <hyperlink ref="G9" location="output_PetItem!A1" display="小宠物笼子" xr:uid="{92075ED0-F95E-486D-9CBA-65623F476D42}"/>
    <hyperlink ref="I9" location="output_PetFeedItem!A1" display="小宠物食品" xr:uid="{0D3ABD57-2DF8-46B5-AACF-DD70C23DB038}"/>
    <hyperlink ref="C13" location="output_PickItem!A1" display="场景交互道具表" xr:uid="{DEF9AE8E-6919-42CD-89B7-7E2560C122A7}"/>
    <hyperlink ref="C14" location="output_Buff!A1" display="BUFF表" xr:uid="{DF5F2CDD-4907-47C1-873D-D7490790FFCC}"/>
    <hyperlink ref="C15" location="output_Shop!A1" display="商店表" xr:uid="{403FAA15-C926-476B-AA08-02DDE659FC42}"/>
    <hyperlink ref="C16" location="output_Skin!A1" display="皮肤表" xr:uid="{72C59ACF-CFA3-41CA-9F58-3DECEFB8ABC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150</v>
      </c>
      <c r="B1" s="1" t="s">
        <v>151</v>
      </c>
      <c r="C1" s="1" t="s">
        <v>152</v>
      </c>
      <c r="D1" s="5" t="s">
        <v>153</v>
      </c>
    </row>
    <row r="2" spans="1:4" ht="16.5" x14ac:dyDescent="0.2">
      <c r="A2" s="4" t="s">
        <v>154</v>
      </c>
      <c r="B2" s="4" t="s">
        <v>155</v>
      </c>
      <c r="C2" s="4" t="s">
        <v>75</v>
      </c>
      <c r="D2" s="5" t="s">
        <v>156</v>
      </c>
    </row>
    <row r="3" spans="1:4" ht="16.5" x14ac:dyDescent="0.2">
      <c r="A3" s="4" t="s">
        <v>39</v>
      </c>
      <c r="B3" s="4" t="s">
        <v>131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157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3D08-27E1-4999-B00A-1B5233A83383}">
  <sheetPr codeName="Sheet3"/>
  <dimension ref="A1:E15"/>
  <sheetViews>
    <sheetView workbookViewId="0">
      <selection activeCell="F27" sqref="F27"/>
    </sheetView>
  </sheetViews>
  <sheetFormatPr defaultRowHeight="14.25" x14ac:dyDescent="0.2"/>
  <cols>
    <col min="1" max="1" width="10.75" customWidth="1"/>
  </cols>
  <sheetData>
    <row r="1" spans="1:5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82</v>
      </c>
    </row>
    <row r="2" spans="1:5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110</v>
      </c>
    </row>
    <row r="3" spans="1:5" ht="16.5" x14ac:dyDescent="0.2">
      <c r="A3" s="4" t="s">
        <v>39</v>
      </c>
      <c r="B3" s="9" t="s">
        <v>183</v>
      </c>
      <c r="C3" s="9" t="s">
        <v>183</v>
      </c>
      <c r="D3" s="1" t="s">
        <v>40</v>
      </c>
      <c r="E3" s="1" t="s">
        <v>68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1001</v>
      </c>
      <c r="B5" s="1" t="s">
        <v>211</v>
      </c>
      <c r="C5" s="1" t="s">
        <v>212</v>
      </c>
      <c r="D5" s="1" t="s">
        <v>213</v>
      </c>
      <c r="E5" s="1">
        <v>0.5</v>
      </c>
    </row>
    <row r="6" spans="1:5" ht="16.5" x14ac:dyDescent="0.2">
      <c r="A6" s="1">
        <v>2001</v>
      </c>
      <c r="B6" s="1" t="s">
        <v>214</v>
      </c>
      <c r="C6" s="1" t="s">
        <v>215</v>
      </c>
      <c r="D6" s="1" t="s">
        <v>216</v>
      </c>
      <c r="E6">
        <v>600</v>
      </c>
    </row>
    <row r="7" spans="1:5" ht="16.5" x14ac:dyDescent="0.2">
      <c r="A7" s="1">
        <v>3001</v>
      </c>
      <c r="B7" s="1" t="s">
        <v>217</v>
      </c>
      <c r="C7" s="1" t="s">
        <v>218</v>
      </c>
      <c r="D7" s="1" t="s">
        <v>219</v>
      </c>
      <c r="E7">
        <v>300</v>
      </c>
    </row>
    <row r="8" spans="1:5" ht="16.5" x14ac:dyDescent="0.2">
      <c r="A8" s="1">
        <v>3002</v>
      </c>
      <c r="B8" s="1" t="s">
        <v>220</v>
      </c>
      <c r="C8" s="1" t="s">
        <v>221</v>
      </c>
      <c r="D8" s="1" t="s">
        <v>222</v>
      </c>
      <c r="E8">
        <v>0.5</v>
      </c>
    </row>
    <row r="9" spans="1:5" ht="16.5" x14ac:dyDescent="0.2">
      <c r="A9" s="1">
        <v>4001</v>
      </c>
      <c r="B9" s="1" t="s">
        <v>223</v>
      </c>
      <c r="C9" s="1" t="s">
        <v>224</v>
      </c>
      <c r="D9" s="1" t="s">
        <v>225</v>
      </c>
      <c r="E9">
        <v>600</v>
      </c>
    </row>
    <row r="10" spans="1:5" ht="16.5" x14ac:dyDescent="0.2">
      <c r="A10" s="1">
        <v>5001</v>
      </c>
      <c r="B10" s="1" t="s">
        <v>226</v>
      </c>
      <c r="C10" s="1" t="s">
        <v>227</v>
      </c>
      <c r="D10" s="1" t="s">
        <v>228</v>
      </c>
      <c r="E10">
        <v>0</v>
      </c>
    </row>
    <row r="11" spans="1:5" ht="16.5" x14ac:dyDescent="0.2">
      <c r="A11" s="1">
        <v>6001</v>
      </c>
      <c r="B11" s="1" t="s">
        <v>229</v>
      </c>
      <c r="C11" s="1" t="s">
        <v>230</v>
      </c>
      <c r="D11" s="1" t="s">
        <v>231</v>
      </c>
      <c r="E11">
        <v>0.5</v>
      </c>
    </row>
    <row r="12" spans="1:5" ht="16.5" x14ac:dyDescent="0.2">
      <c r="A12" s="1">
        <v>7001</v>
      </c>
      <c r="B12" s="1" t="s">
        <v>232</v>
      </c>
      <c r="C12" s="1" t="s">
        <v>233</v>
      </c>
      <c r="D12" s="1" t="s">
        <v>234</v>
      </c>
      <c r="E12">
        <v>0.5</v>
      </c>
    </row>
    <row r="13" spans="1:5" ht="16.5" x14ac:dyDescent="0.2">
      <c r="A13" s="1">
        <v>8001</v>
      </c>
      <c r="B13" s="1" t="s">
        <v>235</v>
      </c>
      <c r="C13" s="1" t="s">
        <v>236</v>
      </c>
      <c r="D13" s="1" t="s">
        <v>237</v>
      </c>
      <c r="E13">
        <v>0.5</v>
      </c>
    </row>
    <row r="15" spans="1:5" ht="16.5" x14ac:dyDescent="0.2">
      <c r="A15" s="10"/>
      <c r="B15" s="10"/>
      <c r="C15" s="10"/>
      <c r="D15" s="10"/>
    </row>
  </sheetData>
  <phoneticPr fontId="3" type="noConversion"/>
  <conditionalFormatting sqref="A2">
    <cfRule type="duplicateValues" dxfId="9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E9D7-34EB-453D-8180-7CE01A0F339E}">
  <sheetPr codeName="Sheet4"/>
  <dimension ref="A1:T5"/>
  <sheetViews>
    <sheetView workbookViewId="0">
      <selection activeCell="G10" sqref="G10"/>
    </sheetView>
  </sheetViews>
  <sheetFormatPr defaultRowHeight="14.25" x14ac:dyDescent="0.2"/>
  <cols>
    <col min="4" max="4" width="15.75" customWidth="1"/>
    <col min="5" max="5" width="13.125" customWidth="1"/>
    <col min="6" max="6" width="19.75" customWidth="1"/>
    <col min="11" max="11" width="14" customWidth="1"/>
    <col min="12" max="12" width="13.5" customWidth="1"/>
    <col min="13" max="13" width="12" customWidth="1"/>
  </cols>
  <sheetData>
    <row r="1" spans="1:20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158</v>
      </c>
      <c r="J1" s="1" t="s">
        <v>159</v>
      </c>
      <c r="K1" s="1" t="s">
        <v>91</v>
      </c>
      <c r="L1" s="2" t="s">
        <v>245</v>
      </c>
      <c r="M1" s="2" t="s">
        <v>246</v>
      </c>
      <c r="N1" s="1" t="s">
        <v>94</v>
      </c>
      <c r="O1" s="1" t="s">
        <v>95</v>
      </c>
      <c r="P1" s="1" t="s">
        <v>96</v>
      </c>
      <c r="Q1" s="1" t="s">
        <v>98</v>
      </c>
      <c r="R1" s="1" t="s">
        <v>99</v>
      </c>
      <c r="S1" s="1" t="s">
        <v>239</v>
      </c>
      <c r="T1" s="1" t="s">
        <v>240</v>
      </c>
    </row>
    <row r="2" spans="1:20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108</v>
      </c>
      <c r="F2" s="1" t="s">
        <v>109</v>
      </c>
      <c r="G2" s="1" t="s">
        <v>110</v>
      </c>
      <c r="H2" s="1" t="s">
        <v>111</v>
      </c>
      <c r="I2" s="1" t="s">
        <v>160</v>
      </c>
      <c r="J2" s="3" t="s">
        <v>161</v>
      </c>
      <c r="K2" s="1" t="s">
        <v>119</v>
      </c>
      <c r="L2" s="1" t="s">
        <v>120</v>
      </c>
      <c r="M2" s="1" t="s">
        <v>120</v>
      </c>
      <c r="N2" s="1" t="s">
        <v>121</v>
      </c>
      <c r="O2" s="1" t="s">
        <v>122</v>
      </c>
      <c r="P2" s="1" t="s">
        <v>123</v>
      </c>
      <c r="Q2" s="1" t="s">
        <v>125</v>
      </c>
      <c r="R2" s="1" t="s">
        <v>126</v>
      </c>
      <c r="S2" s="11" t="s">
        <v>241</v>
      </c>
      <c r="T2" s="11" t="s">
        <v>242</v>
      </c>
    </row>
    <row r="3" spans="1:20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1" t="s">
        <v>40</v>
      </c>
      <c r="G3" s="9" t="s">
        <v>238</v>
      </c>
      <c r="H3" s="1" t="s">
        <v>40</v>
      </c>
      <c r="I3" s="1" t="s">
        <v>162</v>
      </c>
      <c r="J3" s="1" t="s">
        <v>184</v>
      </c>
      <c r="K3" s="1" t="s">
        <v>39</v>
      </c>
      <c r="L3" s="1" t="s">
        <v>132</v>
      </c>
      <c r="M3" s="1" t="s">
        <v>132</v>
      </c>
      <c r="N3" s="1" t="s">
        <v>132</v>
      </c>
      <c r="O3" s="1" t="s">
        <v>132</v>
      </c>
      <c r="P3" s="1" t="s">
        <v>40</v>
      </c>
      <c r="Q3" s="1" t="s">
        <v>40</v>
      </c>
      <c r="R3" s="1" t="s">
        <v>40</v>
      </c>
      <c r="S3" s="11" t="s">
        <v>251</v>
      </c>
      <c r="T3" s="11" t="s">
        <v>251</v>
      </c>
    </row>
    <row r="4" spans="1:20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N4" s="1"/>
      <c r="O4" s="1"/>
      <c r="P4" s="1"/>
      <c r="Q4" s="1"/>
      <c r="R4" s="1"/>
      <c r="S4" s="11"/>
      <c r="T4" s="11"/>
    </row>
    <row r="5" spans="1:20" ht="16.5" x14ac:dyDescent="0.2">
      <c r="A5" s="1">
        <v>1001</v>
      </c>
      <c r="B5" s="1" t="s">
        <v>165</v>
      </c>
      <c r="C5" s="1" t="s">
        <v>174</v>
      </c>
      <c r="D5" s="1" t="s">
        <v>133</v>
      </c>
      <c r="E5" s="1" t="s">
        <v>134</v>
      </c>
      <c r="F5" s="11" t="s">
        <v>186</v>
      </c>
      <c r="G5" s="1">
        <v>0.5</v>
      </c>
      <c r="H5" s="1">
        <v>2</v>
      </c>
      <c r="I5" s="1" t="s">
        <v>163</v>
      </c>
      <c r="J5" s="1" t="s">
        <v>163</v>
      </c>
      <c r="K5" s="1">
        <v>34</v>
      </c>
      <c r="N5" s="1"/>
      <c r="O5" s="1"/>
      <c r="P5" s="1"/>
      <c r="Q5" s="1"/>
      <c r="R5" s="1"/>
      <c r="S5" s="11"/>
      <c r="T5" s="11"/>
    </row>
  </sheetData>
  <phoneticPr fontId="3" type="noConversion"/>
  <conditionalFormatting sqref="A2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321C9-3778-470A-8A85-3F3F7DD7853C}">
  <sheetPr codeName="Sheet5"/>
  <dimension ref="A1:Q5"/>
  <sheetViews>
    <sheetView workbookViewId="0">
      <selection activeCell="R8" sqref="R8"/>
    </sheetView>
  </sheetViews>
  <sheetFormatPr defaultRowHeight="14.25" x14ac:dyDescent="0.2"/>
  <cols>
    <col min="2" max="3" width="17.625" customWidth="1"/>
    <col min="4" max="4" width="13.625" customWidth="1"/>
    <col min="5" max="5" width="13.375" customWidth="1"/>
    <col min="8" max="8" width="12.25" customWidth="1"/>
    <col min="9" max="9" width="14.25" customWidth="1"/>
    <col min="10" max="10" width="11.125" customWidth="1"/>
    <col min="13" max="13" width="15.125" customWidth="1"/>
    <col min="14" max="14" width="17.375" customWidth="1"/>
  </cols>
  <sheetData>
    <row r="1" spans="1:17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81</v>
      </c>
      <c r="F1" s="1" t="s">
        <v>82</v>
      </c>
      <c r="G1" s="1" t="s">
        <v>89</v>
      </c>
      <c r="H1" s="1" t="s">
        <v>91</v>
      </c>
      <c r="I1" s="1" t="s">
        <v>92</v>
      </c>
      <c r="J1" s="1" t="s">
        <v>93</v>
      </c>
      <c r="K1" s="1" t="s">
        <v>98</v>
      </c>
      <c r="L1" s="1" t="s">
        <v>99</v>
      </c>
      <c r="M1" s="1" t="s">
        <v>94</v>
      </c>
      <c r="N1" s="1" t="s">
        <v>95</v>
      </c>
      <c r="O1" s="1" t="s">
        <v>96</v>
      </c>
      <c r="P1" s="1" t="s">
        <v>239</v>
      </c>
      <c r="Q1" s="1" t="s">
        <v>240</v>
      </c>
    </row>
    <row r="2" spans="1:17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109</v>
      </c>
      <c r="F2" s="1" t="s">
        <v>110</v>
      </c>
      <c r="G2" s="1" t="s">
        <v>117</v>
      </c>
      <c r="H2" s="1" t="s">
        <v>119</v>
      </c>
      <c r="I2" s="1" t="s">
        <v>120</v>
      </c>
      <c r="J2" s="1" t="s">
        <v>120</v>
      </c>
      <c r="K2" s="1" t="s">
        <v>125</v>
      </c>
      <c r="L2" s="1" t="s">
        <v>126</v>
      </c>
      <c r="M2" s="1" t="s">
        <v>121</v>
      </c>
      <c r="N2" s="1" t="s">
        <v>122</v>
      </c>
      <c r="O2" s="1" t="s">
        <v>123</v>
      </c>
      <c r="P2" s="1" t="s">
        <v>243</v>
      </c>
      <c r="Q2" s="1" t="s">
        <v>244</v>
      </c>
    </row>
    <row r="3" spans="1:17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9" t="s">
        <v>238</v>
      </c>
      <c r="G3" s="1" t="s">
        <v>68</v>
      </c>
      <c r="H3" s="1" t="s">
        <v>39</v>
      </c>
      <c r="I3" s="1" t="s">
        <v>132</v>
      </c>
      <c r="J3" s="1" t="s">
        <v>132</v>
      </c>
      <c r="K3" s="1" t="s">
        <v>40</v>
      </c>
      <c r="L3" s="1" t="s">
        <v>40</v>
      </c>
      <c r="M3" s="1" t="s">
        <v>132</v>
      </c>
      <c r="N3" s="1" t="s">
        <v>132</v>
      </c>
      <c r="O3" s="1" t="s">
        <v>40</v>
      </c>
      <c r="P3" s="1" t="s">
        <v>251</v>
      </c>
      <c r="Q3" s="1" t="s">
        <v>251</v>
      </c>
    </row>
    <row r="4" spans="1:17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6.5" x14ac:dyDescent="0.2">
      <c r="A5" s="1">
        <v>2001</v>
      </c>
      <c r="B5" s="1" t="s">
        <v>166</v>
      </c>
      <c r="C5" s="1" t="s">
        <v>175</v>
      </c>
      <c r="D5" s="1" t="s">
        <v>135</v>
      </c>
      <c r="E5" s="1" t="s">
        <v>187</v>
      </c>
      <c r="F5" s="1">
        <f>60*10</f>
        <v>600</v>
      </c>
      <c r="G5" s="1">
        <v>10</v>
      </c>
      <c r="H5" s="1">
        <v>100</v>
      </c>
      <c r="I5" s="11"/>
      <c r="J5" s="1"/>
      <c r="K5" s="1"/>
      <c r="L5" s="1"/>
      <c r="M5" s="1"/>
      <c r="N5" s="1"/>
      <c r="O5" s="1"/>
      <c r="P5" s="1"/>
      <c r="Q5" s="1"/>
    </row>
  </sheetData>
  <phoneticPr fontId="3" type="noConversion"/>
  <conditionalFormatting sqref="A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F8BC1-10B5-4B89-AE64-7E8F16648EA2}">
  <sheetPr codeName="Sheet6"/>
  <dimension ref="A1:U6"/>
  <sheetViews>
    <sheetView workbookViewId="0">
      <selection activeCell="I13" sqref="I13"/>
    </sheetView>
  </sheetViews>
  <sheetFormatPr defaultRowHeight="14.25" x14ac:dyDescent="0.2"/>
  <cols>
    <col min="2" max="2" width="15.5" customWidth="1"/>
    <col min="3" max="3" width="21" customWidth="1"/>
    <col min="15" max="15" width="16.625" customWidth="1"/>
    <col min="16" max="16" width="13" customWidth="1"/>
  </cols>
  <sheetData>
    <row r="1" spans="1:21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158</v>
      </c>
      <c r="J1" s="1" t="s">
        <v>159</v>
      </c>
      <c r="K1" s="1" t="s">
        <v>89</v>
      </c>
      <c r="L1" s="1" t="s">
        <v>90</v>
      </c>
      <c r="M1" s="1" t="s">
        <v>91</v>
      </c>
      <c r="N1" s="1" t="s">
        <v>92</v>
      </c>
      <c r="O1" s="1" t="s">
        <v>93</v>
      </c>
      <c r="P1" s="1" t="s">
        <v>94</v>
      </c>
      <c r="Q1" s="1" t="s">
        <v>95</v>
      </c>
      <c r="R1" s="1" t="s">
        <v>96</v>
      </c>
      <c r="S1" s="1" t="s">
        <v>97</v>
      </c>
      <c r="T1" s="1" t="s">
        <v>98</v>
      </c>
      <c r="U1" s="1" t="s">
        <v>99</v>
      </c>
    </row>
    <row r="2" spans="1:21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108</v>
      </c>
      <c r="F2" s="1" t="s">
        <v>109</v>
      </c>
      <c r="G2" s="1" t="s">
        <v>110</v>
      </c>
      <c r="H2" s="1" t="s">
        <v>111</v>
      </c>
      <c r="I2" s="1" t="s">
        <v>160</v>
      </c>
      <c r="J2" s="3" t="s">
        <v>161</v>
      </c>
      <c r="K2" s="1" t="s">
        <v>117</v>
      </c>
      <c r="L2" s="1" t="s">
        <v>118</v>
      </c>
      <c r="M2" s="1" t="s">
        <v>119</v>
      </c>
      <c r="N2" s="1" t="s">
        <v>120</v>
      </c>
      <c r="O2" s="1" t="s">
        <v>120</v>
      </c>
      <c r="P2" s="1" t="s">
        <v>121</v>
      </c>
      <c r="Q2" s="1" t="s">
        <v>122</v>
      </c>
      <c r="R2" s="1" t="s">
        <v>123</v>
      </c>
      <c r="S2" s="1" t="s">
        <v>124</v>
      </c>
      <c r="T2" s="1" t="s">
        <v>125</v>
      </c>
      <c r="U2" s="1" t="s">
        <v>126</v>
      </c>
    </row>
    <row r="3" spans="1:21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1" t="s">
        <v>40</v>
      </c>
      <c r="G3" s="9" t="s">
        <v>238</v>
      </c>
      <c r="H3" s="1" t="s">
        <v>40</v>
      </c>
      <c r="I3" s="1" t="s">
        <v>162</v>
      </c>
      <c r="J3" s="1" t="s">
        <v>184</v>
      </c>
      <c r="K3" s="1" t="s">
        <v>68</v>
      </c>
      <c r="L3" s="1" t="s">
        <v>68</v>
      </c>
      <c r="M3" s="1" t="s">
        <v>39</v>
      </c>
      <c r="N3" s="1" t="s">
        <v>132</v>
      </c>
      <c r="O3" s="1" t="s">
        <v>132</v>
      </c>
      <c r="P3" s="1" t="s">
        <v>69</v>
      </c>
      <c r="Q3" s="1" t="s">
        <v>132</v>
      </c>
      <c r="R3" s="1" t="s">
        <v>40</v>
      </c>
      <c r="S3" s="1" t="s">
        <v>40</v>
      </c>
      <c r="T3" s="1" t="s">
        <v>40</v>
      </c>
      <c r="U3" s="1" t="s">
        <v>40</v>
      </c>
    </row>
    <row r="4" spans="1:21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6.5" x14ac:dyDescent="0.2">
      <c r="A5" s="1">
        <v>3001</v>
      </c>
      <c r="B5" s="1" t="s">
        <v>167</v>
      </c>
      <c r="C5" s="1" t="s">
        <v>176</v>
      </c>
      <c r="D5" s="1" t="s">
        <v>136</v>
      </c>
      <c r="E5" s="1"/>
      <c r="F5" s="1" t="s">
        <v>137</v>
      </c>
      <c r="G5" s="1">
        <f>5*60</f>
        <v>300</v>
      </c>
      <c r="H5" s="1">
        <v>3</v>
      </c>
      <c r="I5" s="1"/>
      <c r="J5" s="1"/>
      <c r="K5" s="1">
        <v>10</v>
      </c>
      <c r="L5" s="1">
        <v>1.5</v>
      </c>
      <c r="M5" s="1">
        <v>100</v>
      </c>
      <c r="N5" s="1" t="s">
        <v>138</v>
      </c>
      <c r="O5" s="1" t="s">
        <v>139</v>
      </c>
      <c r="P5" s="1"/>
      <c r="Q5" s="1"/>
      <c r="R5" s="1" t="s">
        <v>140</v>
      </c>
      <c r="S5" s="1"/>
      <c r="T5" s="1"/>
      <c r="U5" s="1"/>
    </row>
    <row r="6" spans="1:21" ht="16.5" x14ac:dyDescent="0.2">
      <c r="A6" s="1">
        <v>3002</v>
      </c>
      <c r="B6" s="1" t="s">
        <v>168</v>
      </c>
      <c r="C6" s="1" t="s">
        <v>177</v>
      </c>
      <c r="D6" s="1" t="s">
        <v>141</v>
      </c>
      <c r="E6" s="1" t="s">
        <v>142</v>
      </c>
      <c r="F6" s="1" t="s">
        <v>143</v>
      </c>
      <c r="G6" s="1">
        <v>0.5</v>
      </c>
      <c r="H6" s="1">
        <v>1</v>
      </c>
      <c r="I6" s="1" t="s">
        <v>163</v>
      </c>
      <c r="J6" s="1" t="s">
        <v>163</v>
      </c>
      <c r="K6" s="1">
        <v>20</v>
      </c>
      <c r="L6" s="1"/>
      <c r="M6" s="1">
        <v>50</v>
      </c>
      <c r="N6" s="1"/>
      <c r="O6" s="1"/>
      <c r="P6" s="1"/>
      <c r="Q6" s="1"/>
      <c r="R6" s="1"/>
      <c r="S6" s="1"/>
      <c r="T6" s="1"/>
      <c r="U6" s="1"/>
    </row>
  </sheetData>
  <phoneticPr fontId="3" type="noConversion"/>
  <conditionalFormatting sqref="A2">
    <cfRule type="duplicateValues" dxfId="6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90770-051F-4C3D-AE58-1DAFF5E79E21}">
  <sheetPr codeName="Sheet7"/>
  <dimension ref="A1:F5"/>
  <sheetViews>
    <sheetView workbookViewId="0">
      <selection activeCell="B3" sqref="B3"/>
    </sheetView>
  </sheetViews>
  <sheetFormatPr defaultRowHeight="14.25" x14ac:dyDescent="0.2"/>
  <cols>
    <col min="2" max="2" width="14.75" customWidth="1"/>
    <col min="3" max="3" width="34.875" customWidth="1"/>
    <col min="4" max="4" width="17" customWidth="1"/>
  </cols>
  <sheetData>
    <row r="1" spans="1:6" ht="16.5" x14ac:dyDescent="0.2">
      <c r="A1" s="4" t="s">
        <v>71</v>
      </c>
      <c r="B1" s="1" t="s">
        <v>72</v>
      </c>
      <c r="C1" s="1" t="s">
        <v>188</v>
      </c>
      <c r="D1" s="1" t="s">
        <v>73</v>
      </c>
      <c r="E1" s="1" t="s">
        <v>189</v>
      </c>
      <c r="F1" s="1" t="s">
        <v>190</v>
      </c>
    </row>
    <row r="2" spans="1:6" ht="16.5" x14ac:dyDescent="0.2">
      <c r="A2" s="4" t="s">
        <v>19</v>
      </c>
      <c r="B2" s="1" t="s">
        <v>74</v>
      </c>
      <c r="C2" s="1" t="s">
        <v>191</v>
      </c>
      <c r="D2" s="1" t="s">
        <v>75</v>
      </c>
      <c r="E2" s="1" t="s">
        <v>192</v>
      </c>
      <c r="F2" s="1" t="s">
        <v>193</v>
      </c>
    </row>
    <row r="3" spans="1:6" ht="16.5" x14ac:dyDescent="0.2">
      <c r="A3" s="4" t="s">
        <v>39</v>
      </c>
      <c r="B3" s="1" t="s">
        <v>40</v>
      </c>
      <c r="C3" s="1" t="s">
        <v>39</v>
      </c>
      <c r="D3" s="1" t="s">
        <v>39</v>
      </c>
      <c r="E3" s="1" t="s">
        <v>39</v>
      </c>
      <c r="F3" s="1" t="s">
        <v>39</v>
      </c>
    </row>
    <row r="4" spans="1:6" ht="16.5" x14ac:dyDescent="0.2">
      <c r="A4" s="1" t="s">
        <v>47</v>
      </c>
      <c r="B4" s="1"/>
      <c r="C4" s="1"/>
      <c r="D4" s="1"/>
      <c r="E4" s="1"/>
      <c r="F4" s="1"/>
    </row>
    <row r="5" spans="1:6" ht="16.5" x14ac:dyDescent="0.2">
      <c r="A5" s="1">
        <v>1</v>
      </c>
      <c r="B5" s="1" t="s">
        <v>76</v>
      </c>
      <c r="C5" s="1">
        <v>2</v>
      </c>
      <c r="D5" s="1">
        <v>2001</v>
      </c>
      <c r="E5" s="1">
        <v>60</v>
      </c>
      <c r="F5" s="1">
        <v>-1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25C4-5B35-4EB9-8B01-3E11A40DD4C3}">
  <sheetPr codeName="Sheet8"/>
  <dimension ref="A1:H5"/>
  <sheetViews>
    <sheetView workbookViewId="0">
      <selection activeCell="F16" sqref="F16"/>
    </sheetView>
  </sheetViews>
  <sheetFormatPr defaultRowHeight="14.25" x14ac:dyDescent="0.2"/>
  <sheetData>
    <row r="1" spans="1:8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81</v>
      </c>
      <c r="F1" s="1" t="s">
        <v>98</v>
      </c>
      <c r="G1" s="1" t="s">
        <v>82</v>
      </c>
      <c r="H1" s="1" t="s">
        <v>100</v>
      </c>
    </row>
    <row r="2" spans="1:8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109</v>
      </c>
      <c r="F2" s="1" t="s">
        <v>125</v>
      </c>
      <c r="G2" s="1" t="s">
        <v>110</v>
      </c>
      <c r="H2" s="1" t="s">
        <v>127</v>
      </c>
    </row>
    <row r="3" spans="1:8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1" t="s">
        <v>40</v>
      </c>
      <c r="G3" s="9" t="s">
        <v>238</v>
      </c>
      <c r="H3" s="1" t="s">
        <v>39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4001</v>
      </c>
      <c r="B5" s="1" t="s">
        <v>169</v>
      </c>
      <c r="C5" s="1" t="s">
        <v>178</v>
      </c>
      <c r="D5" s="1" t="s">
        <v>144</v>
      </c>
      <c r="E5" s="1" t="s">
        <v>145</v>
      </c>
      <c r="F5" s="1"/>
      <c r="G5" s="1">
        <v>600</v>
      </c>
      <c r="H5" s="1">
        <v>1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5AF7-AF41-43FD-AFD8-8B02159A2007}">
  <sheetPr codeName="Sheet9"/>
  <dimension ref="A1:H5"/>
  <sheetViews>
    <sheetView workbookViewId="0">
      <selection activeCell="J11" sqref="J11"/>
    </sheetView>
  </sheetViews>
  <sheetFormatPr defaultRowHeight="14.25" x14ac:dyDescent="0.2"/>
  <sheetData>
    <row r="1" spans="1:8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84</v>
      </c>
      <c r="F1" s="1" t="s">
        <v>85</v>
      </c>
      <c r="G1" s="1" t="s">
        <v>86</v>
      </c>
      <c r="H1" s="1" t="s">
        <v>87</v>
      </c>
    </row>
    <row r="2" spans="1:8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112</v>
      </c>
      <c r="F2" s="1" t="s">
        <v>113</v>
      </c>
      <c r="G2" s="1" t="s">
        <v>114</v>
      </c>
      <c r="H2" s="1" t="s">
        <v>115</v>
      </c>
    </row>
    <row r="3" spans="1:8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132</v>
      </c>
      <c r="F3" s="1" t="s">
        <v>39</v>
      </c>
      <c r="G3" s="1" t="s">
        <v>39</v>
      </c>
      <c r="H3" s="12" t="s">
        <v>183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5001</v>
      </c>
      <c r="B5" s="1" t="s">
        <v>170</v>
      </c>
      <c r="C5" s="1" t="s">
        <v>179</v>
      </c>
      <c r="D5" s="1" t="s">
        <v>146</v>
      </c>
      <c r="E5" s="1">
        <v>1</v>
      </c>
      <c r="F5" s="1"/>
      <c r="G5" s="1">
        <v>200</v>
      </c>
      <c r="H5" s="13" t="s">
        <v>185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6E8E2-B6D0-4C33-B673-615DF7E742B1}">
  <sheetPr codeName="Sheet10"/>
  <dimension ref="A1:E5"/>
  <sheetViews>
    <sheetView workbookViewId="0">
      <selection activeCell="F25" sqref="F25"/>
    </sheetView>
  </sheetViews>
  <sheetFormatPr defaultRowHeight="14.25" x14ac:dyDescent="0.2"/>
  <cols>
    <col min="3" max="3" width="24.375" customWidth="1"/>
  </cols>
  <sheetData>
    <row r="1" spans="1:5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88</v>
      </c>
    </row>
    <row r="2" spans="1:5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116</v>
      </c>
    </row>
    <row r="3" spans="1:5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6001</v>
      </c>
      <c r="B5" s="1" t="s">
        <v>171</v>
      </c>
      <c r="C5" s="1" t="s">
        <v>180</v>
      </c>
      <c r="D5" s="1" t="s">
        <v>147</v>
      </c>
      <c r="E5" s="1">
        <v>200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B930-3588-4A14-B466-7B99ECF6F7BB}">
  <sheetPr codeName="Sheet11"/>
  <dimension ref="A1:L6"/>
  <sheetViews>
    <sheetView tabSelected="1" workbookViewId="0">
      <selection activeCell="L7" sqref="L7"/>
    </sheetView>
  </sheetViews>
  <sheetFormatPr defaultRowHeight="14.25" x14ac:dyDescent="0.2"/>
  <cols>
    <col min="7" max="7" width="15.5" customWidth="1"/>
    <col min="9" max="9" width="13.75" customWidth="1"/>
    <col min="11" max="11" width="10.875" customWidth="1"/>
  </cols>
  <sheetData>
    <row r="1" spans="1:12" ht="16.5" x14ac:dyDescent="0.2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249</v>
      </c>
      <c r="J1" s="1" t="s">
        <v>56</v>
      </c>
      <c r="K1" s="1" t="s">
        <v>57</v>
      </c>
      <c r="L1" s="2" t="s">
        <v>247</v>
      </c>
    </row>
    <row r="2" spans="1:12" ht="16.5" x14ac:dyDescent="0.2">
      <c r="A2" s="1" t="s">
        <v>58</v>
      </c>
      <c r="B2" s="1" t="s">
        <v>59</v>
      </c>
      <c r="C2" s="1" t="s">
        <v>60</v>
      </c>
      <c r="D2" s="1" t="s">
        <v>61</v>
      </c>
      <c r="E2" s="1" t="s">
        <v>62</v>
      </c>
      <c r="F2" s="1" t="s">
        <v>63</v>
      </c>
      <c r="G2" s="1" t="s">
        <v>64</v>
      </c>
      <c r="H2" s="1" t="s">
        <v>65</v>
      </c>
      <c r="I2" s="1" t="s">
        <v>250</v>
      </c>
      <c r="J2" s="1" t="s">
        <v>66</v>
      </c>
      <c r="K2" s="1" t="s">
        <v>67</v>
      </c>
      <c r="L2" s="2" t="s">
        <v>248</v>
      </c>
    </row>
    <row r="3" spans="1:12" ht="16.5" x14ac:dyDescent="0.2">
      <c r="A3" s="1" t="s">
        <v>39</v>
      </c>
      <c r="B3" s="1" t="s">
        <v>68</v>
      </c>
      <c r="C3" s="1" t="s">
        <v>68</v>
      </c>
      <c r="D3" s="1" t="s">
        <v>68</v>
      </c>
      <c r="E3" s="1" t="s">
        <v>69</v>
      </c>
      <c r="F3" s="1" t="s">
        <v>68</v>
      </c>
      <c r="G3" s="1" t="s">
        <v>68</v>
      </c>
      <c r="H3" s="1" t="s">
        <v>68</v>
      </c>
      <c r="I3" s="2" t="s">
        <v>251</v>
      </c>
      <c r="J3" s="1" t="s">
        <v>39</v>
      </c>
      <c r="K3" s="1" t="s">
        <v>40</v>
      </c>
      <c r="L3" s="2" t="s">
        <v>251</v>
      </c>
    </row>
    <row r="4" spans="1:12" ht="16.5" x14ac:dyDescent="0.2">
      <c r="A4" s="1" t="s">
        <v>47</v>
      </c>
      <c r="B4" s="19"/>
      <c r="C4" s="19"/>
      <c r="D4" s="20"/>
      <c r="E4" s="19"/>
      <c r="F4" s="19"/>
      <c r="G4" s="19"/>
      <c r="H4" s="19"/>
      <c r="I4" s="19"/>
      <c r="J4" s="19"/>
      <c r="K4" s="19"/>
    </row>
    <row r="5" spans="1:12" ht="16.5" x14ac:dyDescent="0.2">
      <c r="A5" s="1">
        <v>1</v>
      </c>
      <c r="B5" s="1">
        <v>2</v>
      </c>
      <c r="C5" s="1">
        <v>2</v>
      </c>
      <c r="D5" s="1">
        <v>1</v>
      </c>
      <c r="E5" s="1"/>
      <c r="F5" s="1">
        <v>1.5</v>
      </c>
      <c r="G5" s="1">
        <v>2</v>
      </c>
      <c r="H5" s="1">
        <v>0.5</v>
      </c>
      <c r="I5" s="11"/>
      <c r="J5" s="1">
        <v>1</v>
      </c>
      <c r="K5" s="1"/>
      <c r="L5" t="b">
        <v>0</v>
      </c>
    </row>
    <row r="6" spans="1:12" ht="16.5" x14ac:dyDescent="0.2">
      <c r="A6" s="1">
        <v>2</v>
      </c>
      <c r="B6" s="1">
        <v>1</v>
      </c>
      <c r="C6" s="1">
        <v>1</v>
      </c>
      <c r="D6" s="1">
        <v>1</v>
      </c>
      <c r="E6" s="1" t="s">
        <v>164</v>
      </c>
      <c r="F6" s="1">
        <v>1.2</v>
      </c>
      <c r="G6" s="1">
        <v>1</v>
      </c>
      <c r="H6" s="1">
        <v>1</v>
      </c>
      <c r="I6" s="11"/>
      <c r="J6" s="1"/>
      <c r="K6" s="1" t="s">
        <v>70</v>
      </c>
      <c r="L6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CFE6-37C8-4FCD-9601-2023E22F30E4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2519B-3A6B-465C-831A-3FD216181C02}">
  <sheetPr codeName="Sheet13"/>
  <dimension ref="A1:E5"/>
  <sheetViews>
    <sheetView workbookViewId="0">
      <selection activeCell="B3" sqref="B3:D3"/>
    </sheetView>
  </sheetViews>
  <sheetFormatPr defaultRowHeight="14.25" x14ac:dyDescent="0.2"/>
  <sheetData>
    <row r="1" spans="1:5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101</v>
      </c>
    </row>
    <row r="2" spans="1:5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128</v>
      </c>
    </row>
    <row r="3" spans="1:5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7001</v>
      </c>
      <c r="B5" s="1" t="s">
        <v>172</v>
      </c>
      <c r="C5" s="1" t="s">
        <v>181</v>
      </c>
      <c r="D5" s="1" t="s">
        <v>148</v>
      </c>
      <c r="E5" s="1">
        <v>1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735-7C0E-4119-B53E-CC67AB76F61D}">
  <sheetPr codeName="Sheet14"/>
  <dimension ref="A1:F5"/>
  <sheetViews>
    <sheetView workbookViewId="0">
      <selection activeCell="B3" sqref="B3:D3"/>
    </sheetView>
  </sheetViews>
  <sheetFormatPr defaultRowHeight="14.25" x14ac:dyDescent="0.2"/>
  <sheetData>
    <row r="1" spans="1:6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102</v>
      </c>
      <c r="F1" s="1" t="s">
        <v>103</v>
      </c>
    </row>
    <row r="2" spans="1:6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129</v>
      </c>
      <c r="F2" s="1" t="s">
        <v>130</v>
      </c>
    </row>
    <row r="3" spans="1:6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39</v>
      </c>
      <c r="F3" s="1" t="s">
        <v>39</v>
      </c>
    </row>
    <row r="4" spans="1:6" ht="16.5" x14ac:dyDescent="0.2">
      <c r="A4" s="4" t="s">
        <v>47</v>
      </c>
      <c r="B4" s="1"/>
      <c r="C4" s="1"/>
      <c r="D4" s="1"/>
      <c r="E4" s="1"/>
      <c r="F4" s="1"/>
    </row>
    <row r="5" spans="1:6" ht="16.5" x14ac:dyDescent="0.2">
      <c r="A5" s="1">
        <v>8001</v>
      </c>
      <c r="B5" s="1" t="s">
        <v>173</v>
      </c>
      <c r="C5" s="1" t="s">
        <v>182</v>
      </c>
      <c r="D5" s="1" t="s">
        <v>149</v>
      </c>
      <c r="E5" s="1">
        <v>5</v>
      </c>
      <c r="F5" s="1">
        <v>5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配置说明和目录</vt:lpstr>
      <vt:lpstr>output_Shop</vt:lpstr>
      <vt:lpstr>output_Item</vt:lpstr>
      <vt:lpstr>output_WeaponItem</vt:lpstr>
      <vt:lpstr>output_MedicineItem</vt:lpstr>
      <vt:lpstr>output_ThrowItem</vt:lpstr>
      <vt:lpstr>output_PickItem</vt:lpstr>
      <vt:lpstr>output_PutItem</vt:lpstr>
      <vt:lpstr>output_TaskItem</vt:lpstr>
      <vt:lpstr>output_RubbishItem</vt:lpstr>
      <vt:lpstr>output_Buff</vt:lpstr>
      <vt:lpstr>output_Skin</vt:lpstr>
      <vt:lpstr>output_PetItem</vt:lpstr>
      <vt:lpstr>output_PetFeedItem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2021-01-12T09:56:37Z</dcterms:modified>
</cp:coreProperties>
</file>