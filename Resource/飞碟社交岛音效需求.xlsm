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1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F:\Group_ONE\社交岛真\social-island\Resource\"/>
    </mc:Choice>
  </mc:AlternateContent>
  <xr:revisionPtr revIDLastSave="0" documentId="13_ncr:1_{4BA599EA-8318-40E2-B75F-FBE39B5259BA}" xr6:coauthVersionLast="36" xr6:coauthVersionMax="36" xr10:uidLastSave="{00000000-0000-0000-0000-000000000000}"/>
  <bookViews>
    <workbookView xWindow="0" yWindow="0" windowWidth="28800" windowHeight="12240" xr2:uid="{00000000-000D-0000-FFFF-FFFF00000000}"/>
  </bookViews>
  <sheets>
    <sheet name="Sheet1" sheetId="1" r:id="rId1"/>
    <sheet name="砍树" sheetId="11" r:id="rId2"/>
    <sheet name="NPC" sheetId="10" r:id="rId3"/>
    <sheet name="场景交互" sheetId="6" r:id="rId4"/>
    <sheet name="道具基础" sheetId="12" r:id="rId5"/>
    <sheet name="打地鼠" sheetId="7" r:id="rId6"/>
    <sheet name="UFO" sheetId="8" r:id="rId7"/>
    <sheet name="迷宫" sheetId="9" r:id="rId8"/>
    <sheet name="动物赛跑" sheetId="2" r:id="rId9"/>
    <sheet name="打猎、捕捉" sheetId="3" r:id="rId10"/>
    <sheet name="喷气椅" sheetId="4" r:id="rId11"/>
    <sheet name="猜拳" sheetId="5" r:id="rId12"/>
    <sheet name="BGM" sheetId="14" r:id="rId13"/>
    <sheet name="导出按钮" sheetId="13" r:id="rId14"/>
  </sheets>
  <externalReferences>
    <externalReference r:id="rId15"/>
  </externalReferenc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" i="1" l="1"/>
  <c r="J4" i="1"/>
  <c r="J5" i="1"/>
  <c r="J6" i="1"/>
  <c r="J7" i="1"/>
  <c r="J8" i="1"/>
  <c r="J9" i="1"/>
  <c r="J10" i="1"/>
  <c r="J9" i="2" s="1"/>
  <c r="J11" i="1"/>
  <c r="J12" i="1"/>
  <c r="J13" i="1"/>
  <c r="J14" i="1"/>
  <c r="J15" i="1"/>
  <c r="J16" i="1"/>
  <c r="J17" i="1"/>
  <c r="J18" i="1"/>
  <c r="J8" i="6" s="1"/>
  <c r="J19" i="1"/>
  <c r="J20" i="1"/>
  <c r="J21" i="1"/>
  <c r="J22" i="1"/>
  <c r="J23" i="1"/>
  <c r="J24" i="1"/>
  <c r="J25" i="1"/>
  <c r="J26" i="1"/>
  <c r="J2" i="12" s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10" i="3" s="1"/>
  <c r="J51" i="1"/>
  <c r="J52" i="1"/>
  <c r="J53" i="1"/>
  <c r="J54" i="1"/>
  <c r="J55" i="1"/>
  <c r="J56" i="1"/>
  <c r="J16" i="3" s="1"/>
  <c r="J57" i="1"/>
  <c r="J58" i="1"/>
  <c r="J18" i="3" s="1"/>
  <c r="J59" i="1"/>
  <c r="J60" i="1"/>
  <c r="J61" i="1"/>
  <c r="J62" i="1"/>
  <c r="J63" i="1"/>
  <c r="J64" i="1"/>
  <c r="J2" i="5" s="1"/>
  <c r="J65" i="1"/>
  <c r="J66" i="1"/>
  <c r="J67" i="1"/>
  <c r="J2" i="1"/>
  <c r="J4" i="14"/>
  <c r="J3" i="14"/>
  <c r="J2" i="14"/>
  <c r="J5" i="4"/>
  <c r="J4" i="4"/>
  <c r="J3" i="4"/>
  <c r="J2" i="4"/>
  <c r="J19" i="3"/>
  <c r="J17" i="3"/>
  <c r="J15" i="3"/>
  <c r="J14" i="3"/>
  <c r="J13" i="3"/>
  <c r="J12" i="3"/>
  <c r="J11" i="3"/>
  <c r="J9" i="3"/>
  <c r="J8" i="3"/>
  <c r="J7" i="3"/>
  <c r="J6" i="3"/>
  <c r="J5" i="3"/>
  <c r="J4" i="3"/>
  <c r="J3" i="3"/>
  <c r="J2" i="3"/>
  <c r="J3" i="2"/>
  <c r="J4" i="2"/>
  <c r="J5" i="2"/>
  <c r="J6" i="2"/>
  <c r="J7" i="2"/>
  <c r="J8" i="2"/>
  <c r="J10" i="2"/>
  <c r="J2" i="2"/>
  <c r="J3" i="7"/>
  <c r="J4" i="7"/>
  <c r="J2" i="7"/>
  <c r="J3" i="12"/>
  <c r="J4" i="12"/>
  <c r="J5" i="12"/>
  <c r="J6" i="12"/>
  <c r="J7" i="12"/>
  <c r="J8" i="12"/>
  <c r="J9" i="12"/>
  <c r="J10" i="12"/>
  <c r="J11" i="12"/>
  <c r="J12" i="12"/>
  <c r="J13" i="12"/>
  <c r="J14" i="12"/>
  <c r="J3" i="6"/>
  <c r="J4" i="6"/>
  <c r="J5" i="6"/>
  <c r="J6" i="6"/>
  <c r="J7" i="6"/>
  <c r="J9" i="6"/>
  <c r="J10" i="6"/>
  <c r="J11" i="6"/>
  <c r="J12" i="6"/>
  <c r="J13" i="6"/>
  <c r="J14" i="6"/>
  <c r="J15" i="6"/>
  <c r="J2" i="6"/>
  <c r="J2" i="10"/>
  <c r="J2" i="11"/>
  <c r="J3" i="11"/>
</calcChain>
</file>

<file path=xl/sharedStrings.xml><?xml version="1.0" encoding="utf-8"?>
<sst xmlns="http://schemas.openxmlformats.org/spreadsheetml/2006/main" count="516" uniqueCount="213">
  <si>
    <t>音效</t>
    <phoneticPr fontId="3" type="noConversion"/>
  </si>
  <si>
    <t>音效</t>
    <phoneticPr fontId="3" type="noConversion"/>
  </si>
  <si>
    <t>ID</t>
    <phoneticPr fontId="3" type="noConversion"/>
  </si>
  <si>
    <t>描述</t>
    <phoneticPr fontId="3" type="noConversion"/>
  </si>
  <si>
    <t>渐入</t>
    <phoneticPr fontId="2" type="noConversion"/>
  </si>
  <si>
    <t>渐出</t>
    <phoneticPr fontId="2" type="noConversion"/>
  </si>
  <si>
    <t>循环</t>
    <phoneticPr fontId="2" type="noConversion"/>
  </si>
  <si>
    <t>时长</t>
    <phoneticPr fontId="2" type="noConversion"/>
  </si>
  <si>
    <t>2D/3D</t>
    <phoneticPr fontId="3" type="noConversion"/>
  </si>
  <si>
    <t>视频时间</t>
    <phoneticPr fontId="2" type="noConversion"/>
  </si>
  <si>
    <t>营地里和飞碟里BGM</t>
    <phoneticPr fontId="2" type="noConversion"/>
  </si>
  <si>
    <t>野外探索狩猎时BGM</t>
    <phoneticPr fontId="2" type="noConversion"/>
  </si>
  <si>
    <t>脚步声</t>
    <phoneticPr fontId="2" type="noConversion"/>
  </si>
  <si>
    <t>在水中的脚步声</t>
    <phoneticPr fontId="2" type="noConversion"/>
  </si>
  <si>
    <t>进入水中的声音</t>
    <phoneticPr fontId="2" type="noConversion"/>
  </si>
  <si>
    <t>游泳移动的声音</t>
    <phoneticPr fontId="2" type="noConversion"/>
  </si>
  <si>
    <t>猜拳倒计时</t>
    <phoneticPr fontId="2" type="noConversion"/>
  </si>
  <si>
    <t>Sfx_HitTree</t>
  </si>
  <si>
    <t>踩蘑菇</t>
    <phoneticPr fontId="2" type="noConversion"/>
  </si>
  <si>
    <t>DrinkBuff_Skywalker_Jump</t>
  </si>
  <si>
    <t>Footstep_deck-002</t>
  </si>
  <si>
    <t>JumpIntoWater</t>
  </si>
  <si>
    <t>换外观的交互声音</t>
    <phoneticPr fontId="2" type="noConversion"/>
  </si>
  <si>
    <t>Marquis_ClothChange</t>
  </si>
  <si>
    <t>跳落地</t>
    <phoneticPr fontId="2" type="noConversion"/>
  </si>
  <si>
    <t>PlayerControlModule_Jump_Deck</t>
  </si>
  <si>
    <t>Weapon_attack</t>
  </si>
  <si>
    <t>拉弓</t>
    <phoneticPr fontId="2" type="noConversion"/>
  </si>
  <si>
    <t>Weapon_Bow_shoot</t>
  </si>
  <si>
    <t>放箭</t>
    <phoneticPr fontId="2" type="noConversion"/>
  </si>
  <si>
    <t>挥动近战武器（重）</t>
    <phoneticPr fontId="2" type="noConversion"/>
  </si>
  <si>
    <t>挥动光剑</t>
    <phoneticPr fontId="2" type="noConversion"/>
  </si>
  <si>
    <t>光剑命中</t>
    <phoneticPr fontId="2" type="noConversion"/>
  </si>
  <si>
    <t>Weapon_LightSaber_attack</t>
  </si>
  <si>
    <t>Weapon_LightSaber_hit</t>
  </si>
  <si>
    <t>Weapon_LightSaber_pickup</t>
  </si>
  <si>
    <t>Weapon_Umbrella_hit</t>
  </si>
  <si>
    <t>Weapon_Bow_draw</t>
  </si>
  <si>
    <t>坐下的音效</t>
    <phoneticPr fontId="2" type="noConversion"/>
  </si>
  <si>
    <t>界面弹出（支付）</t>
    <phoneticPr fontId="2" type="noConversion"/>
  </si>
  <si>
    <t>界面关闭（支付）</t>
    <phoneticPr fontId="2" type="noConversion"/>
  </si>
  <si>
    <t>点击确认（支付）</t>
    <phoneticPr fontId="2" type="noConversion"/>
  </si>
  <si>
    <t>吃金币的音效</t>
    <phoneticPr fontId="2" type="noConversion"/>
  </si>
  <si>
    <t>实体和道具消失时烟雾炸开的声音</t>
    <phoneticPr fontId="2" type="noConversion"/>
  </si>
  <si>
    <t>弹射椅发射的音效</t>
    <phoneticPr fontId="2" type="noConversion"/>
  </si>
  <si>
    <t>弹射椅故障旋转的音效</t>
    <phoneticPr fontId="2" type="noConversion"/>
  </si>
  <si>
    <t>山鸡受击</t>
    <phoneticPr fontId="2" type="noConversion"/>
  </si>
  <si>
    <t>山鸡死亡</t>
    <phoneticPr fontId="2" type="noConversion"/>
  </si>
  <si>
    <t>野猪受击</t>
    <phoneticPr fontId="2" type="noConversion"/>
  </si>
  <si>
    <t>野鸡死亡</t>
    <phoneticPr fontId="2" type="noConversion"/>
  </si>
  <si>
    <t>狼受击</t>
    <phoneticPr fontId="2" type="noConversion"/>
  </si>
  <si>
    <t>狼死亡</t>
    <phoneticPr fontId="2" type="noConversion"/>
  </si>
  <si>
    <t>猫头鹰受击</t>
    <phoneticPr fontId="2" type="noConversion"/>
  </si>
  <si>
    <t>猫头鹰死亡</t>
    <phoneticPr fontId="2" type="noConversion"/>
  </si>
  <si>
    <t>鹿受击</t>
    <phoneticPr fontId="2" type="noConversion"/>
  </si>
  <si>
    <t>鹿死亡</t>
    <phoneticPr fontId="2" type="noConversion"/>
  </si>
  <si>
    <t>鸟语（环境）</t>
    <phoneticPr fontId="2" type="noConversion"/>
  </si>
  <si>
    <t>成功捕捉</t>
    <phoneticPr fontId="2" type="noConversion"/>
  </si>
  <si>
    <t>摇木马的咯吱声</t>
    <phoneticPr fontId="2" type="noConversion"/>
  </si>
  <si>
    <t>下注成功</t>
    <phoneticPr fontId="2" type="noConversion"/>
  </si>
  <si>
    <t>赛前预备</t>
    <phoneticPr fontId="2" type="noConversion"/>
  </si>
  <si>
    <t>起跑</t>
    <phoneticPr fontId="2" type="noConversion"/>
  </si>
  <si>
    <t>第一名到达终点</t>
    <phoneticPr fontId="2" type="noConversion"/>
  </si>
  <si>
    <t>第二名到达终点</t>
    <phoneticPr fontId="2" type="noConversion"/>
  </si>
  <si>
    <t>第三名到达终点</t>
    <phoneticPr fontId="2" type="noConversion"/>
  </si>
  <si>
    <t>第四名到达终点</t>
    <phoneticPr fontId="2" type="noConversion"/>
  </si>
  <si>
    <t>赢到钱</t>
    <phoneticPr fontId="2" type="noConversion"/>
  </si>
  <si>
    <t>输了钱</t>
    <phoneticPr fontId="2" type="noConversion"/>
  </si>
  <si>
    <t>玩家失败落下时的音效</t>
    <phoneticPr fontId="2" type="noConversion"/>
  </si>
  <si>
    <t>对话弹出</t>
    <phoneticPr fontId="2" type="noConversion"/>
  </si>
  <si>
    <t>利器砍树</t>
    <phoneticPr fontId="2" type="noConversion"/>
  </si>
  <si>
    <t>钝器砍树</t>
    <phoneticPr fontId="2" type="noConversion"/>
  </si>
  <si>
    <t>挥动近战武器（利刃）</t>
    <phoneticPr fontId="2" type="noConversion"/>
  </si>
  <si>
    <t>挥动近战武器（轻）</t>
    <phoneticPr fontId="2" type="noConversion"/>
  </si>
  <si>
    <t>命中玩家</t>
    <phoneticPr fontId="2" type="noConversion"/>
  </si>
  <si>
    <t>命中除了树、人、动物外其他物体</t>
    <phoneticPr fontId="2" type="noConversion"/>
  </si>
  <si>
    <t>拿起的交互声音</t>
    <phoneticPr fontId="2" type="noConversion"/>
  </si>
  <si>
    <t>装备的交互声音</t>
    <phoneticPr fontId="2" type="noConversion"/>
  </si>
  <si>
    <t>迷宫内BGM</t>
    <phoneticPr fontId="2" type="noConversion"/>
  </si>
  <si>
    <t>吃食物的交互声音</t>
    <phoneticPr fontId="2" type="noConversion"/>
  </si>
  <si>
    <t>3D</t>
  </si>
  <si>
    <t>3D</t>
    <phoneticPr fontId="2" type="noConversion"/>
  </si>
  <si>
    <t>2D</t>
  </si>
  <si>
    <t>2D</t>
    <phoneticPr fontId="2" type="noConversion"/>
  </si>
  <si>
    <t>对话弹出</t>
  </si>
  <si>
    <t>吃金币的音效</t>
  </si>
  <si>
    <t>界面弹出（支付）</t>
  </si>
  <si>
    <t>界面关闭（支付）</t>
  </si>
  <si>
    <t>点击确认（支付）</t>
  </si>
  <si>
    <t>下注成功</t>
  </si>
  <si>
    <t>赛前预备</t>
  </si>
  <si>
    <t>起跑</t>
  </si>
  <si>
    <t>赢到钱</t>
  </si>
  <si>
    <t>输了钱</t>
  </si>
  <si>
    <t>坐下的音效</t>
  </si>
  <si>
    <t>摇木马的咯吱声</t>
  </si>
  <si>
    <t>鸟语（环境）</t>
  </si>
  <si>
    <t>脚步声</t>
  </si>
  <si>
    <t>跳落地</t>
  </si>
  <si>
    <t>进入水中的声音</t>
  </si>
  <si>
    <t>在水中的脚步声</t>
  </si>
  <si>
    <t>游泳移动的声音</t>
  </si>
  <si>
    <t>踩蘑菇</t>
  </si>
  <si>
    <t>换外观的交互声音</t>
  </si>
  <si>
    <t>拿起的交互声音</t>
  </si>
  <si>
    <t>装备的交互声音</t>
  </si>
  <si>
    <t>吃食物的交互声音</t>
  </si>
  <si>
    <t>挥动近战武器（重）</t>
  </si>
  <si>
    <t>挥动光剑</t>
  </si>
  <si>
    <t>挥动近战武器（利刃）</t>
  </si>
  <si>
    <t>挥动近战武器（轻）</t>
  </si>
  <si>
    <t>光剑命中</t>
  </si>
  <si>
    <t>命中玩家</t>
  </si>
  <si>
    <t>命中除了树、人、动物外其他物体</t>
  </si>
  <si>
    <t>实体和道具消失时烟雾炸开的声音</t>
  </si>
  <si>
    <t>第一名到达终点</t>
  </si>
  <si>
    <t>第二名到达终点</t>
  </si>
  <si>
    <t>第三名到达终点</t>
  </si>
  <si>
    <t>第四名到达终点</t>
  </si>
  <si>
    <t>成功捕捉</t>
  </si>
  <si>
    <t>鹿受击</t>
  </si>
  <si>
    <t>鹿死亡</t>
  </si>
  <si>
    <t>山鸡受击</t>
  </si>
  <si>
    <t>山鸡死亡</t>
  </si>
  <si>
    <t>野猪受击</t>
  </si>
  <si>
    <t>野鸡死亡</t>
  </si>
  <si>
    <t>狼受击</t>
  </si>
  <si>
    <t>狼死亡</t>
  </si>
  <si>
    <t>猫头鹰受击</t>
  </si>
  <si>
    <t>猫头鹰死亡</t>
  </si>
  <si>
    <t>拉弓</t>
  </si>
  <si>
    <t>放箭</t>
  </si>
  <si>
    <t>弹射椅发射的音效</t>
  </si>
  <si>
    <t>弹射椅故障旋转的音效</t>
  </si>
  <si>
    <t>玩家失败落下时的音效</t>
  </si>
  <si>
    <t>猜拳倒计时</t>
  </si>
  <si>
    <t>营地里和飞碟里BGM</t>
  </si>
  <si>
    <t>野外探索狩猎时BGM</t>
  </si>
  <si>
    <t>迷宫内BGM</t>
  </si>
  <si>
    <t>Weapon_Trombone_hit</t>
  </si>
  <si>
    <t>Weapon_Trombone_hit</t>
    <phoneticPr fontId="2" type="noConversion"/>
  </si>
  <si>
    <t>装备光剑</t>
  </si>
  <si>
    <t>装备光剑</t>
    <phoneticPr fontId="2" type="noConversion"/>
  </si>
  <si>
    <t>Weapon_Common_pickup</t>
  </si>
  <si>
    <t>投掷</t>
  </si>
  <si>
    <t>投掷</t>
    <phoneticPr fontId="2" type="noConversion"/>
  </si>
  <si>
    <t>Throw</t>
  </si>
  <si>
    <t>喷气椅机械音</t>
  </si>
  <si>
    <t>喷气椅机械音</t>
    <phoneticPr fontId="2" type="noConversion"/>
  </si>
  <si>
    <t>Fruit_Logic_pickup_02</t>
  </si>
  <si>
    <t>Fruit_Logic_eat&amp;boost</t>
  </si>
  <si>
    <t>FlyBoardController_ScoreBreaker</t>
  </si>
  <si>
    <t>Drone_attack_Money_shoot</t>
  </si>
  <si>
    <t>Drone_attack_firework_shoot</t>
  </si>
  <si>
    <t>AudioScript_Swim_03</t>
  </si>
  <si>
    <t>Sfx_Shop_1s_Open</t>
  </si>
  <si>
    <t>Sfx_Shop_1s_BuyConfirm</t>
  </si>
  <si>
    <t>Sfx_ChangeStatu_5s_SlotMachine</t>
  </si>
  <si>
    <t>金属命中其他物体</t>
  </si>
  <si>
    <t>金属命中其他物体</t>
    <phoneticPr fontId="2" type="noConversion"/>
  </si>
  <si>
    <t>Weapon_Sword_Hit_Wood_Dull_01</t>
  </si>
  <si>
    <t>Weapon_Sword_Hit_Wood_Dull_01</t>
    <phoneticPr fontId="2" type="noConversion"/>
  </si>
  <si>
    <t>熊受击</t>
  </si>
  <si>
    <t>熊受击</t>
    <phoneticPr fontId="2" type="noConversion"/>
  </si>
  <si>
    <t>熊死亡</t>
  </si>
  <si>
    <t>熊死亡</t>
    <phoneticPr fontId="2" type="noConversion"/>
  </si>
  <si>
    <t>bear_pain_hurt_groan_01</t>
  </si>
  <si>
    <t>DOORS_WOOD_GATE_OPEN_2</t>
  </si>
  <si>
    <t>DOORS_WOOD_GATE_OPEN_2</t>
    <phoneticPr fontId="2" type="noConversion"/>
  </si>
  <si>
    <t>Coin_Slide_Carpet</t>
  </si>
  <si>
    <t>Sfx_Diamond_1s_Add</t>
  </si>
  <si>
    <t>Sfx_Shop_1s_Close</t>
  </si>
  <si>
    <t>夹中动物</t>
  </si>
  <si>
    <t>夹中动物</t>
    <phoneticPr fontId="2" type="noConversion"/>
  </si>
  <si>
    <t>Clip_Release</t>
  </si>
  <si>
    <t>放夹子</t>
  </si>
  <si>
    <t>放夹子</t>
    <phoneticPr fontId="2" type="noConversion"/>
  </si>
  <si>
    <t>Clip_Lock</t>
  </si>
  <si>
    <t>Clip_Destory</t>
  </si>
  <si>
    <t>夹子被毁坏</t>
  </si>
  <si>
    <t>夹子被毁坏</t>
    <phoneticPr fontId="2" type="noConversion"/>
  </si>
  <si>
    <t>Success</t>
  </si>
  <si>
    <t>Bird</t>
  </si>
  <si>
    <t>Pig_Dead</t>
  </si>
  <si>
    <t>Bear_Hurt</t>
  </si>
  <si>
    <t>Pig_Hurt</t>
  </si>
  <si>
    <t>Deer_Hurt</t>
  </si>
  <si>
    <t>Deer_Dead</t>
  </si>
  <si>
    <t>Wolf_Dead</t>
  </si>
  <si>
    <t>Wolf_Hurt</t>
  </si>
  <si>
    <t>Sit</t>
  </si>
  <si>
    <t>Sit</t>
    <phoneticPr fontId="2" type="noConversion"/>
  </si>
  <si>
    <t>TempBGM</t>
  </si>
  <si>
    <t>TempBGM</t>
    <phoneticPr fontId="2" type="noConversion"/>
  </si>
  <si>
    <t>WaterWalking</t>
  </si>
  <si>
    <t>WaterWalking</t>
    <phoneticPr fontId="2" type="noConversion"/>
  </si>
  <si>
    <t>AudioScript_Swim_03</t>
    <phoneticPr fontId="2" type="noConversion"/>
  </si>
  <si>
    <t>Item_unequip</t>
  </si>
  <si>
    <t>Weapon_knife_attack</t>
  </si>
  <si>
    <t>Weapon_knife_attack</t>
    <phoneticPr fontId="2" type="noConversion"/>
  </si>
  <si>
    <t>Weapon_Light</t>
  </si>
  <si>
    <t>Weapon_Light</t>
    <phoneticPr fontId="2" type="noConversion"/>
  </si>
  <si>
    <t>Rocket_Launcher</t>
  </si>
  <si>
    <t>箭射中</t>
  </si>
  <si>
    <t>箭射中</t>
    <phoneticPr fontId="2" type="noConversion"/>
  </si>
  <si>
    <t>Weapon_Arch_Hit</t>
  </si>
  <si>
    <t>Weapon_Arch_Hit</t>
    <phoneticPr fontId="2" type="noConversion"/>
  </si>
  <si>
    <t>3D</t>
    <phoneticPr fontId="2" type="noConversion"/>
  </si>
  <si>
    <t>获得状态</t>
  </si>
  <si>
    <t>获得状态</t>
    <phoneticPr fontId="2" type="noConversion"/>
  </si>
  <si>
    <t>Weapon_GetBuff</t>
  </si>
  <si>
    <t>Weapon_GetBuff</t>
    <phoneticPr fontId="2" type="noConversion"/>
  </si>
  <si>
    <t>游戏内ID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</si>
</sst>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等线"/>
      <family val="2"/>
      <charset val="134"/>
      <scheme val="minor"/>
    </font>
    <font>
      <sz val="11"/>
      <color theme="0"/>
      <name val="等线"/>
      <family val="2"/>
      <scheme val="minor"/>
    </font>
    <font>
      <sz val="9"/>
      <name val="等线"/>
      <family val="2"/>
      <charset val="134"/>
      <scheme val="minor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1"/>
      <color theme="1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1" fillId="2" borderId="0" xfId="0" applyFont="1" applyFill="1" applyAlignment="1"/>
    <xf numFmtId="0" fontId="0" fillId="0" borderId="0" xfId="0" applyAlignment="1"/>
    <xf numFmtId="0" fontId="5" fillId="3" borderId="0" xfId="0" applyFont="1" applyFill="1" applyAlignment="1"/>
    <xf numFmtId="0" fontId="6" fillId="4" borderId="0" xfId="0" applyFont="1" applyFill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1</xdr:row>
          <xdr:rowOff>57150</xdr:rowOff>
        </xdr:from>
        <xdr:to>
          <xdr:col>3</xdr:col>
          <xdr:colOff>676275</xdr:colOff>
          <xdr:row>4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D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导出音效表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roup_ONE/&#31038;&#20132;&#23707;&#30495;/social-island/Design/SoundConfi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Sound"/>
    </sheetNames>
    <sheetDataSet>
      <sheetData sheetId="0">
        <row r="1">
          <cell r="G1" t="str">
            <v>其他说明</v>
          </cell>
          <cell r="H1" t="str">
            <v>配表查询索引</v>
          </cell>
        </row>
        <row r="2">
          <cell r="G2" t="str">
            <v>Info</v>
          </cell>
          <cell r="H2" t="str">
            <v>Index</v>
          </cell>
        </row>
        <row r="3">
          <cell r="G3" t="str">
            <v>String</v>
          </cell>
          <cell r="H3" t="str">
            <v>Comment</v>
          </cell>
        </row>
        <row r="5">
          <cell r="H5">
            <v>1</v>
          </cell>
        </row>
        <row r="6">
          <cell r="H6">
            <v>2</v>
          </cell>
        </row>
        <row r="7">
          <cell r="G7" t="str">
            <v>对话弹出</v>
          </cell>
          <cell r="H7">
            <v>3</v>
          </cell>
        </row>
        <row r="8">
          <cell r="G8" t="str">
            <v>吃金币的音效</v>
          </cell>
          <cell r="H8">
            <v>4</v>
          </cell>
        </row>
        <row r="9">
          <cell r="G9" t="str">
            <v>界面弹出（支付）</v>
          </cell>
          <cell r="H9">
            <v>5</v>
          </cell>
        </row>
        <row r="10">
          <cell r="G10" t="str">
            <v>界面关闭（支付）</v>
          </cell>
          <cell r="H10">
            <v>6</v>
          </cell>
        </row>
        <row r="11">
          <cell r="G11" t="str">
            <v>点击确认（支付）</v>
          </cell>
          <cell r="H11">
            <v>7</v>
          </cell>
        </row>
        <row r="12">
          <cell r="G12" t="str">
            <v>下注成功</v>
          </cell>
          <cell r="H12">
            <v>8</v>
          </cell>
        </row>
        <row r="13">
          <cell r="G13" t="str">
            <v>赛前预备</v>
          </cell>
          <cell r="H13">
            <v>9</v>
          </cell>
        </row>
        <row r="14">
          <cell r="G14" t="str">
            <v>起跑</v>
          </cell>
          <cell r="H14">
            <v>10</v>
          </cell>
        </row>
        <row r="15">
          <cell r="G15" t="str">
            <v>赢到钱</v>
          </cell>
          <cell r="H15">
            <v>11</v>
          </cell>
        </row>
        <row r="16">
          <cell r="G16" t="str">
            <v>输了钱</v>
          </cell>
          <cell r="H16">
            <v>12</v>
          </cell>
        </row>
        <row r="17">
          <cell r="G17" t="str">
            <v>成功捕捉</v>
          </cell>
          <cell r="H17">
            <v>13</v>
          </cell>
        </row>
        <row r="18">
          <cell r="G18" t="str">
            <v>坐下的音效</v>
          </cell>
          <cell r="H18">
            <v>14</v>
          </cell>
        </row>
        <row r="19">
          <cell r="G19" t="str">
            <v>摇木马的咯吱声</v>
          </cell>
          <cell r="H19">
            <v>15</v>
          </cell>
        </row>
        <row r="20">
          <cell r="G20" t="str">
            <v>鸟语（环境）</v>
          </cell>
          <cell r="H20">
            <v>16</v>
          </cell>
        </row>
        <row r="21">
          <cell r="G21" t="str">
            <v>脚步声</v>
          </cell>
          <cell r="H21">
            <v>17</v>
          </cell>
        </row>
        <row r="22">
          <cell r="G22" t="str">
            <v>跳落地</v>
          </cell>
          <cell r="H22">
            <v>18</v>
          </cell>
        </row>
        <row r="23">
          <cell r="G23" t="str">
            <v>进入水中的声音</v>
          </cell>
          <cell r="H23">
            <v>19</v>
          </cell>
        </row>
        <row r="24">
          <cell r="G24" t="str">
            <v>在水中的脚步声</v>
          </cell>
          <cell r="H24">
            <v>20</v>
          </cell>
        </row>
        <row r="25">
          <cell r="G25" t="str">
            <v>游泳移动的声音</v>
          </cell>
          <cell r="H25">
            <v>21</v>
          </cell>
        </row>
        <row r="26">
          <cell r="G26" t="str">
            <v>踩蘑菇</v>
          </cell>
          <cell r="H26">
            <v>22</v>
          </cell>
        </row>
        <row r="27">
          <cell r="G27" t="str">
            <v>换外观的交互声音</v>
          </cell>
          <cell r="H27">
            <v>23</v>
          </cell>
        </row>
        <row r="28">
          <cell r="G28" t="str">
            <v>拿起的交互声音</v>
          </cell>
          <cell r="H28">
            <v>24</v>
          </cell>
        </row>
        <row r="29">
          <cell r="G29" t="str">
            <v>装备的交互声音</v>
          </cell>
          <cell r="H29">
            <v>25</v>
          </cell>
        </row>
        <row r="30">
          <cell r="G30" t="str">
            <v>吃食物的交互声音</v>
          </cell>
          <cell r="H30">
            <v>26</v>
          </cell>
        </row>
        <row r="31">
          <cell r="G31" t="str">
            <v>挥动近战武器（重）</v>
          </cell>
          <cell r="H31">
            <v>27</v>
          </cell>
        </row>
        <row r="32">
          <cell r="G32" t="str">
            <v>挥动光剑</v>
          </cell>
          <cell r="H32">
            <v>28</v>
          </cell>
        </row>
        <row r="33">
          <cell r="G33" t="str">
            <v>挥动近战武器（利刃）</v>
          </cell>
          <cell r="H33">
            <v>29</v>
          </cell>
        </row>
        <row r="34">
          <cell r="G34" t="str">
            <v>挥动近战武器（轻）</v>
          </cell>
          <cell r="H34">
            <v>30</v>
          </cell>
        </row>
        <row r="35">
          <cell r="G35" t="str">
            <v>光剑命中</v>
          </cell>
          <cell r="H35">
            <v>31</v>
          </cell>
        </row>
        <row r="36">
          <cell r="G36" t="str">
            <v>命中玩家</v>
          </cell>
          <cell r="H36">
            <v>32</v>
          </cell>
        </row>
        <row r="37">
          <cell r="G37" t="str">
            <v>命中除了树、人、动物外其他物体</v>
          </cell>
          <cell r="H37">
            <v>33</v>
          </cell>
        </row>
        <row r="38">
          <cell r="G38" t="str">
            <v>实体和道具消失时烟雾炸开的声音</v>
          </cell>
          <cell r="H38">
            <v>34</v>
          </cell>
        </row>
        <row r="39">
          <cell r="G39" t="str">
            <v>装备光剑</v>
          </cell>
          <cell r="H39">
            <v>35</v>
          </cell>
        </row>
        <row r="40">
          <cell r="G40" t="str">
            <v>投掷</v>
          </cell>
          <cell r="H40">
            <v>36</v>
          </cell>
        </row>
        <row r="41">
          <cell r="G41" t="str">
            <v>金属命中其他物体</v>
          </cell>
          <cell r="H41">
            <v>37</v>
          </cell>
        </row>
        <row r="42">
          <cell r="G42" t="str">
            <v>第一名到达终点</v>
          </cell>
          <cell r="H42">
            <v>38</v>
          </cell>
        </row>
        <row r="43">
          <cell r="G43" t="str">
            <v>第二名到达终点</v>
          </cell>
          <cell r="H43">
            <v>39</v>
          </cell>
        </row>
        <row r="44">
          <cell r="G44" t="str">
            <v>第三名到达终点</v>
          </cell>
          <cell r="H44">
            <v>40</v>
          </cell>
        </row>
        <row r="45">
          <cell r="G45" t="str">
            <v>第四名到达终点</v>
          </cell>
          <cell r="H45">
            <v>41</v>
          </cell>
        </row>
        <row r="46">
          <cell r="G46" t="str">
            <v>放夹子</v>
          </cell>
          <cell r="H46">
            <v>42</v>
          </cell>
        </row>
        <row r="47">
          <cell r="G47" t="str">
            <v>夹中动物</v>
          </cell>
          <cell r="H47">
            <v>43</v>
          </cell>
        </row>
        <row r="48">
          <cell r="G48" t="str">
            <v>夹子被毁坏</v>
          </cell>
          <cell r="H48">
            <v>44</v>
          </cell>
        </row>
        <row r="49">
          <cell r="G49" t="str">
            <v>鹿受击</v>
          </cell>
          <cell r="H49">
            <v>45</v>
          </cell>
        </row>
        <row r="50">
          <cell r="G50" t="str">
            <v>鹿死亡</v>
          </cell>
          <cell r="H50">
            <v>46</v>
          </cell>
        </row>
        <row r="51">
          <cell r="G51" t="str">
            <v>山鸡受击</v>
          </cell>
          <cell r="H51">
            <v>47</v>
          </cell>
        </row>
        <row r="52">
          <cell r="G52" t="str">
            <v>山鸡死亡</v>
          </cell>
          <cell r="H52">
            <v>48</v>
          </cell>
        </row>
        <row r="53">
          <cell r="G53" t="str">
            <v>野猪受击</v>
          </cell>
          <cell r="H53">
            <v>49</v>
          </cell>
        </row>
        <row r="54">
          <cell r="G54" t="str">
            <v>野鸡死亡</v>
          </cell>
          <cell r="H54">
            <v>50</v>
          </cell>
        </row>
        <row r="55">
          <cell r="G55" t="str">
            <v>狼受击</v>
          </cell>
          <cell r="H55">
            <v>51</v>
          </cell>
        </row>
        <row r="56">
          <cell r="G56" t="str">
            <v>狼死亡</v>
          </cell>
          <cell r="H56">
            <v>52</v>
          </cell>
        </row>
        <row r="57">
          <cell r="G57" t="str">
            <v>猫头鹰受击</v>
          </cell>
          <cell r="H57">
            <v>53</v>
          </cell>
        </row>
        <row r="58">
          <cell r="G58" t="str">
            <v>猫头鹰死亡</v>
          </cell>
          <cell r="H58">
            <v>54</v>
          </cell>
        </row>
        <row r="59">
          <cell r="G59" t="str">
            <v>拉弓</v>
          </cell>
          <cell r="H59">
            <v>55</v>
          </cell>
        </row>
        <row r="60">
          <cell r="G60" t="str">
            <v>放箭</v>
          </cell>
          <cell r="H60">
            <v>56</v>
          </cell>
        </row>
        <row r="61">
          <cell r="G61" t="str">
            <v>熊受击</v>
          </cell>
          <cell r="H61">
            <v>57</v>
          </cell>
        </row>
        <row r="62">
          <cell r="G62" t="str">
            <v>熊死亡</v>
          </cell>
          <cell r="H62">
            <v>58</v>
          </cell>
        </row>
        <row r="63">
          <cell r="G63" t="str">
            <v>弹射椅发射的音效</v>
          </cell>
          <cell r="H63">
            <v>59</v>
          </cell>
        </row>
        <row r="64">
          <cell r="G64" t="str">
            <v>弹射椅故障旋转的音效</v>
          </cell>
          <cell r="H64">
            <v>60</v>
          </cell>
        </row>
        <row r="65">
          <cell r="G65" t="str">
            <v>玩家失败落下时的音效</v>
          </cell>
          <cell r="H65">
            <v>61</v>
          </cell>
        </row>
        <row r="66">
          <cell r="G66" t="str">
            <v>喷气椅机械音</v>
          </cell>
          <cell r="H66">
            <v>62</v>
          </cell>
        </row>
        <row r="67">
          <cell r="G67" t="str">
            <v>猜拳倒计时</v>
          </cell>
          <cell r="H67">
            <v>63</v>
          </cell>
        </row>
        <row r="68">
          <cell r="G68" t="str">
            <v>营地里和飞碟里BGM</v>
          </cell>
          <cell r="H68">
            <v>64</v>
          </cell>
        </row>
        <row r="69">
          <cell r="G69" t="str">
            <v>野外探索狩猎时BGM</v>
          </cell>
          <cell r="H69">
            <v>65</v>
          </cell>
        </row>
        <row r="70">
          <cell r="G70" t="str">
            <v>迷宫内BGM</v>
          </cell>
          <cell r="H70">
            <v>66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A71"/>
  <sheetViews>
    <sheetView tabSelected="1" workbookViewId="0">
      <selection activeCell="C26" sqref="C26"/>
    </sheetView>
  </sheetViews>
  <sheetFormatPr defaultRowHeight="14.25" x14ac:dyDescent="0.2"/>
  <cols>
    <col min="1" max="1" width="30.375" customWidth="1"/>
    <col min="2" max="2" width="35.125" customWidth="1"/>
    <col min="3" max="3" width="54.875" customWidth="1"/>
    <col min="4" max="4" width="22.125" customWidth="1"/>
    <col min="5" max="5" width="9" customWidth="1"/>
    <col min="8" max="8" width="18.25" customWidth="1"/>
    <col min="9" max="9" width="14.75" customWidth="1"/>
    <col min="10" max="10" width="14.625" customWidth="1"/>
  </cols>
  <sheetData>
    <row r="1" spans="1:10" s="4" customFormat="1" ht="39" customHeight="1" x14ac:dyDescent="0.2">
      <c r="A1" s="4" t="s">
        <v>1</v>
      </c>
      <c r="B1" s="4" t="s">
        <v>2</v>
      </c>
      <c r="C1" s="4" t="s">
        <v>3</v>
      </c>
      <c r="D1" s="4" t="s">
        <v>8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9</v>
      </c>
      <c r="J1" s="4" t="s">
        <v>212</v>
      </c>
    </row>
    <row r="2" spans="1:10" x14ac:dyDescent="0.2">
      <c r="A2" t="s">
        <v>84</v>
      </c>
      <c r="B2" t="s">
        <v>155</v>
      </c>
      <c r="D2" t="s">
        <v>82</v>
      </c>
      <c r="E2" t="b">
        <v>0</v>
      </c>
      <c r="F2" t="b">
        <v>0</v>
      </c>
      <c r="G2" t="b">
        <v>0</v>
      </c>
      <c r="H2">
        <v>1</v>
      </c>
      <c r="J2">
        <f>VLOOKUP(A2,[1]output_Sound!$G:$H,2,FALSE)</f>
        <v>3</v>
      </c>
    </row>
    <row r="3" spans="1:10" x14ac:dyDescent="0.2">
      <c r="A3" t="s">
        <v>85</v>
      </c>
      <c r="B3" t="s">
        <v>169</v>
      </c>
      <c r="D3" t="s">
        <v>82</v>
      </c>
      <c r="E3" t="b">
        <v>0</v>
      </c>
      <c r="F3" t="b">
        <v>0</v>
      </c>
      <c r="G3" t="b">
        <v>0</v>
      </c>
      <c r="H3">
        <v>1</v>
      </c>
      <c r="J3">
        <f>VLOOKUP(A3,[1]output_Sound!$G:$H,2,FALSE)</f>
        <v>4</v>
      </c>
    </row>
    <row r="4" spans="1:10" x14ac:dyDescent="0.2">
      <c r="A4" t="s">
        <v>86</v>
      </c>
      <c r="B4" t="s">
        <v>155</v>
      </c>
      <c r="D4" t="s">
        <v>82</v>
      </c>
      <c r="E4" t="b">
        <v>0</v>
      </c>
      <c r="F4" t="b">
        <v>0</v>
      </c>
      <c r="G4" t="b">
        <v>0</v>
      </c>
      <c r="H4">
        <v>1</v>
      </c>
      <c r="J4">
        <f>VLOOKUP(A4,[1]output_Sound!$G:$H,2,FALSE)</f>
        <v>5</v>
      </c>
    </row>
    <row r="5" spans="1:10" x14ac:dyDescent="0.2">
      <c r="A5" t="s">
        <v>87</v>
      </c>
      <c r="B5" t="s">
        <v>171</v>
      </c>
      <c r="D5" t="s">
        <v>82</v>
      </c>
      <c r="E5" t="b">
        <v>0</v>
      </c>
      <c r="F5" t="b">
        <v>0</v>
      </c>
      <c r="G5" t="b">
        <v>0</v>
      </c>
      <c r="H5">
        <v>1</v>
      </c>
      <c r="J5">
        <f>VLOOKUP(A5,[1]output_Sound!$G:$H,2,FALSE)</f>
        <v>6</v>
      </c>
    </row>
    <row r="6" spans="1:10" x14ac:dyDescent="0.2">
      <c r="A6" t="s">
        <v>88</v>
      </c>
      <c r="B6" t="s">
        <v>170</v>
      </c>
      <c r="D6" t="s">
        <v>82</v>
      </c>
      <c r="E6" t="b">
        <v>0</v>
      </c>
      <c r="F6" t="b">
        <v>0</v>
      </c>
      <c r="G6" t="b">
        <v>0</v>
      </c>
      <c r="H6">
        <v>1</v>
      </c>
      <c r="J6">
        <f>VLOOKUP(A6,[1]output_Sound!$G:$H,2,FALSE)</f>
        <v>7</v>
      </c>
    </row>
    <row r="7" spans="1:10" x14ac:dyDescent="0.2">
      <c r="A7" t="s">
        <v>89</v>
      </c>
      <c r="B7" t="s">
        <v>156</v>
      </c>
      <c r="D7" t="s">
        <v>82</v>
      </c>
      <c r="E7" t="b">
        <v>0</v>
      </c>
      <c r="F7" t="b">
        <v>0</v>
      </c>
      <c r="G7" t="b">
        <v>0</v>
      </c>
      <c r="H7">
        <v>1</v>
      </c>
      <c r="J7">
        <f>VLOOKUP(A7,[1]output_Sound!$G:$H,2,FALSE)</f>
        <v>8</v>
      </c>
    </row>
    <row r="8" spans="1:10" x14ac:dyDescent="0.2">
      <c r="A8" t="s">
        <v>90</v>
      </c>
      <c r="D8" t="s">
        <v>82</v>
      </c>
      <c r="E8" t="b">
        <v>0</v>
      </c>
      <c r="F8" t="b">
        <v>0</v>
      </c>
      <c r="G8" t="b">
        <v>0</v>
      </c>
      <c r="H8">
        <v>1</v>
      </c>
      <c r="J8">
        <f>VLOOKUP(A8,[1]output_Sound!$G:$H,2,FALSE)</f>
        <v>9</v>
      </c>
    </row>
    <row r="9" spans="1:10" x14ac:dyDescent="0.2">
      <c r="A9" t="s">
        <v>91</v>
      </c>
      <c r="B9" t="s">
        <v>155</v>
      </c>
      <c r="D9" t="s">
        <v>82</v>
      </c>
      <c r="E9" t="b">
        <v>0</v>
      </c>
      <c r="F9" t="b">
        <v>0</v>
      </c>
      <c r="G9" t="b">
        <v>0</v>
      </c>
      <c r="H9">
        <v>1</v>
      </c>
      <c r="J9">
        <f>VLOOKUP(A9,[1]output_Sound!$G:$H,2,FALSE)</f>
        <v>10</v>
      </c>
    </row>
    <row r="10" spans="1:10" x14ac:dyDescent="0.2">
      <c r="A10" t="s">
        <v>92</v>
      </c>
      <c r="B10" t="s">
        <v>152</v>
      </c>
      <c r="D10" t="s">
        <v>82</v>
      </c>
      <c r="E10" t="b">
        <v>0</v>
      </c>
      <c r="F10" t="b">
        <v>0</v>
      </c>
      <c r="G10" t="b">
        <v>0</v>
      </c>
      <c r="H10">
        <v>1</v>
      </c>
      <c r="J10">
        <f>VLOOKUP(A10,[1]output_Sound!$G:$H,2,FALSE)</f>
        <v>11</v>
      </c>
    </row>
    <row r="11" spans="1:10" x14ac:dyDescent="0.2">
      <c r="A11" t="s">
        <v>93</v>
      </c>
      <c r="B11" t="s">
        <v>155</v>
      </c>
      <c r="D11" t="s">
        <v>82</v>
      </c>
      <c r="E11" t="b">
        <v>0</v>
      </c>
      <c r="F11" t="b">
        <v>0</v>
      </c>
      <c r="G11" t="b">
        <v>0</v>
      </c>
      <c r="H11">
        <v>1</v>
      </c>
      <c r="J11">
        <f>VLOOKUP(A11,[1]output_Sound!$G:$H,2,FALSE)</f>
        <v>12</v>
      </c>
    </row>
    <row r="12" spans="1:10" x14ac:dyDescent="0.2">
      <c r="A12" t="s">
        <v>119</v>
      </c>
      <c r="B12" t="s">
        <v>181</v>
      </c>
      <c r="D12" t="s">
        <v>82</v>
      </c>
      <c r="E12" t="b">
        <v>0</v>
      </c>
      <c r="F12" t="b">
        <v>0</v>
      </c>
      <c r="G12" t="b">
        <v>0</v>
      </c>
      <c r="H12">
        <v>2</v>
      </c>
      <c r="J12">
        <f>VLOOKUP(A12,[1]output_Sound!$G:$H,2,FALSE)</f>
        <v>13</v>
      </c>
    </row>
    <row r="13" spans="1:10" x14ac:dyDescent="0.2">
      <c r="A13" t="s">
        <v>94</v>
      </c>
      <c r="B13" t="s">
        <v>190</v>
      </c>
      <c r="D13" t="s">
        <v>80</v>
      </c>
      <c r="E13" t="b">
        <v>0</v>
      </c>
      <c r="F13" t="b">
        <v>0</v>
      </c>
      <c r="G13" t="b">
        <v>0</v>
      </c>
      <c r="H13">
        <v>1</v>
      </c>
      <c r="J13">
        <f>VLOOKUP(A13,[1]output_Sound!$G:$H,2,FALSE)</f>
        <v>14</v>
      </c>
    </row>
    <row r="14" spans="1:10" x14ac:dyDescent="0.2">
      <c r="A14" t="s">
        <v>95</v>
      </c>
      <c r="B14" t="s">
        <v>167</v>
      </c>
      <c r="D14" t="s">
        <v>80</v>
      </c>
      <c r="E14" t="b">
        <v>0</v>
      </c>
      <c r="F14" t="b">
        <v>0</v>
      </c>
      <c r="G14" t="b">
        <v>1</v>
      </c>
      <c r="H14">
        <v>1</v>
      </c>
      <c r="J14">
        <f>VLOOKUP(A14,[1]output_Sound!$G:$H,2,FALSE)</f>
        <v>15</v>
      </c>
    </row>
    <row r="15" spans="1:10" x14ac:dyDescent="0.2">
      <c r="A15" t="s">
        <v>96</v>
      </c>
      <c r="B15" t="s">
        <v>192</v>
      </c>
      <c r="D15" t="s">
        <v>80</v>
      </c>
      <c r="E15" t="b">
        <v>1</v>
      </c>
      <c r="F15" t="b">
        <v>1</v>
      </c>
      <c r="G15" t="b">
        <v>1</v>
      </c>
      <c r="H15">
        <v>90</v>
      </c>
      <c r="J15">
        <f>VLOOKUP(A15,[1]output_Sound!$G:$H,2,FALSE)</f>
        <v>16</v>
      </c>
    </row>
    <row r="16" spans="1:10" x14ac:dyDescent="0.2">
      <c r="A16" t="s">
        <v>97</v>
      </c>
      <c r="B16" t="s">
        <v>20</v>
      </c>
      <c r="D16" t="s">
        <v>80</v>
      </c>
      <c r="E16" t="b">
        <v>0</v>
      </c>
      <c r="F16" t="b">
        <v>0</v>
      </c>
      <c r="G16" t="b">
        <v>0</v>
      </c>
      <c r="H16">
        <v>1</v>
      </c>
      <c r="J16">
        <f>VLOOKUP(A16,[1]output_Sound!$G:$H,2,FALSE)</f>
        <v>17</v>
      </c>
    </row>
    <row r="17" spans="1:10" x14ac:dyDescent="0.2">
      <c r="A17" t="s">
        <v>98</v>
      </c>
      <c r="B17" t="s">
        <v>25</v>
      </c>
      <c r="D17" t="s">
        <v>80</v>
      </c>
      <c r="E17" t="b">
        <v>0</v>
      </c>
      <c r="F17" t="b">
        <v>0</v>
      </c>
      <c r="G17" t="b">
        <v>0</v>
      </c>
      <c r="H17">
        <v>1</v>
      </c>
      <c r="J17">
        <f>VLOOKUP(A17,[1]output_Sound!$G:$H,2,FALSE)</f>
        <v>18</v>
      </c>
    </row>
    <row r="18" spans="1:10" x14ac:dyDescent="0.2">
      <c r="A18" t="s">
        <v>99</v>
      </c>
      <c r="B18" t="s">
        <v>21</v>
      </c>
      <c r="D18" t="s">
        <v>80</v>
      </c>
      <c r="E18" t="b">
        <v>0</v>
      </c>
      <c r="F18" t="b">
        <v>0</v>
      </c>
      <c r="G18" t="b">
        <v>0</v>
      </c>
      <c r="H18">
        <v>1</v>
      </c>
      <c r="J18">
        <f>VLOOKUP(A18,[1]output_Sound!$G:$H,2,FALSE)</f>
        <v>19</v>
      </c>
    </row>
    <row r="19" spans="1:10" x14ac:dyDescent="0.2">
      <c r="A19" t="s">
        <v>100</v>
      </c>
      <c r="B19" t="s">
        <v>194</v>
      </c>
      <c r="D19" t="s">
        <v>80</v>
      </c>
      <c r="E19" t="b">
        <v>0</v>
      </c>
      <c r="F19" t="b">
        <v>0</v>
      </c>
      <c r="G19" t="b">
        <v>0</v>
      </c>
      <c r="H19">
        <v>1</v>
      </c>
      <c r="J19">
        <f>VLOOKUP(A19,[1]output_Sound!$G:$H,2,FALSE)</f>
        <v>20</v>
      </c>
    </row>
    <row r="20" spans="1:10" x14ac:dyDescent="0.2">
      <c r="A20" t="s">
        <v>101</v>
      </c>
      <c r="B20" t="s">
        <v>154</v>
      </c>
      <c r="D20" t="s">
        <v>80</v>
      </c>
      <c r="E20" t="b">
        <v>0</v>
      </c>
      <c r="F20" t="b">
        <v>0</v>
      </c>
      <c r="G20" t="b">
        <v>0</v>
      </c>
      <c r="H20">
        <v>1</v>
      </c>
      <c r="J20">
        <f>VLOOKUP(A20,[1]output_Sound!$G:$H,2,FALSE)</f>
        <v>21</v>
      </c>
    </row>
    <row r="21" spans="1:10" x14ac:dyDescent="0.2">
      <c r="A21" t="s">
        <v>102</v>
      </c>
      <c r="B21" t="s">
        <v>19</v>
      </c>
      <c r="D21" t="s">
        <v>80</v>
      </c>
      <c r="E21" t="b">
        <v>0</v>
      </c>
      <c r="F21" t="b">
        <v>0</v>
      </c>
      <c r="G21" t="b">
        <v>0</v>
      </c>
      <c r="H21">
        <v>1</v>
      </c>
      <c r="J21">
        <f>VLOOKUP(A21,[1]output_Sound!$G:$H,2,FALSE)</f>
        <v>22</v>
      </c>
    </row>
    <row r="22" spans="1:10" x14ac:dyDescent="0.2">
      <c r="A22" t="s">
        <v>103</v>
      </c>
      <c r="B22" t="s">
        <v>23</v>
      </c>
      <c r="D22" t="s">
        <v>80</v>
      </c>
      <c r="E22" t="b">
        <v>0</v>
      </c>
      <c r="F22" t="b">
        <v>0</v>
      </c>
      <c r="G22" t="b">
        <v>0</v>
      </c>
      <c r="H22">
        <v>1</v>
      </c>
      <c r="J22">
        <f>VLOOKUP(A22,[1]output_Sound!$G:$H,2,FALSE)</f>
        <v>23</v>
      </c>
    </row>
    <row r="23" spans="1:10" x14ac:dyDescent="0.2">
      <c r="A23" t="s">
        <v>104</v>
      </c>
      <c r="B23" t="s">
        <v>149</v>
      </c>
      <c r="D23" t="s">
        <v>80</v>
      </c>
      <c r="E23" t="b">
        <v>0</v>
      </c>
      <c r="F23" t="b">
        <v>0</v>
      </c>
      <c r="G23" t="b">
        <v>0</v>
      </c>
      <c r="H23">
        <v>1</v>
      </c>
      <c r="J23">
        <f>VLOOKUP(A23,[1]output_Sound!$G:$H,2,FALSE)</f>
        <v>24</v>
      </c>
    </row>
    <row r="24" spans="1:10" x14ac:dyDescent="0.2">
      <c r="A24" t="s">
        <v>105</v>
      </c>
      <c r="B24" t="s">
        <v>143</v>
      </c>
      <c r="D24" t="s">
        <v>80</v>
      </c>
      <c r="E24" t="b">
        <v>0</v>
      </c>
      <c r="F24" t="b">
        <v>0</v>
      </c>
      <c r="G24" t="b">
        <v>0</v>
      </c>
      <c r="H24">
        <v>1</v>
      </c>
      <c r="J24">
        <f>VLOOKUP(A24,[1]output_Sound!$G:$H,2,FALSE)</f>
        <v>25</v>
      </c>
    </row>
    <row r="25" spans="1:10" x14ac:dyDescent="0.2">
      <c r="A25" t="s">
        <v>106</v>
      </c>
      <c r="B25" t="s">
        <v>150</v>
      </c>
      <c r="D25" t="s">
        <v>80</v>
      </c>
      <c r="E25" t="b">
        <v>0</v>
      </c>
      <c r="F25" t="b">
        <v>0</v>
      </c>
      <c r="G25" t="b">
        <v>0</v>
      </c>
      <c r="H25">
        <v>1</v>
      </c>
      <c r="J25">
        <f>VLOOKUP(A25,[1]output_Sound!$G:$H,2,FALSE)</f>
        <v>26</v>
      </c>
    </row>
    <row r="26" spans="1:10" x14ac:dyDescent="0.2">
      <c r="A26" t="s">
        <v>107</v>
      </c>
      <c r="B26" t="s">
        <v>26</v>
      </c>
      <c r="D26" t="s">
        <v>80</v>
      </c>
      <c r="E26" t="b">
        <v>0</v>
      </c>
      <c r="F26" t="b">
        <v>0</v>
      </c>
      <c r="G26" t="b">
        <v>0</v>
      </c>
      <c r="H26">
        <v>1</v>
      </c>
      <c r="J26">
        <f>VLOOKUP(A26,[1]output_Sound!$G:$H,2,FALSE)</f>
        <v>27</v>
      </c>
    </row>
    <row r="27" spans="1:10" x14ac:dyDescent="0.2">
      <c r="A27" t="s">
        <v>108</v>
      </c>
      <c r="B27" t="s">
        <v>33</v>
      </c>
      <c r="D27" t="s">
        <v>80</v>
      </c>
      <c r="E27" t="b">
        <v>0</v>
      </c>
      <c r="F27" t="b">
        <v>0</v>
      </c>
      <c r="G27" t="b">
        <v>0</v>
      </c>
      <c r="H27">
        <v>1</v>
      </c>
      <c r="J27">
        <f>VLOOKUP(A27,[1]output_Sound!$G:$H,2,FALSE)</f>
        <v>28</v>
      </c>
    </row>
    <row r="28" spans="1:10" x14ac:dyDescent="0.2">
      <c r="A28" t="s">
        <v>109</v>
      </c>
      <c r="B28" t="s">
        <v>198</v>
      </c>
      <c r="D28" t="s">
        <v>80</v>
      </c>
      <c r="E28" t="b">
        <v>0</v>
      </c>
      <c r="F28" t="b">
        <v>0</v>
      </c>
      <c r="G28" t="b">
        <v>0</v>
      </c>
      <c r="H28">
        <v>1</v>
      </c>
      <c r="J28">
        <f>VLOOKUP(A28,[1]output_Sound!$G:$H,2,FALSE)</f>
        <v>29</v>
      </c>
    </row>
    <row r="29" spans="1:10" x14ac:dyDescent="0.2">
      <c r="A29" t="s">
        <v>110</v>
      </c>
      <c r="B29" t="s">
        <v>200</v>
      </c>
      <c r="D29" t="s">
        <v>80</v>
      </c>
      <c r="E29" t="b">
        <v>0</v>
      </c>
      <c r="F29" t="b">
        <v>0</v>
      </c>
      <c r="G29" t="b">
        <v>0</v>
      </c>
      <c r="H29">
        <v>1</v>
      </c>
      <c r="J29">
        <f>VLOOKUP(A29,[1]output_Sound!$G:$H,2,FALSE)</f>
        <v>30</v>
      </c>
    </row>
    <row r="30" spans="1:10" x14ac:dyDescent="0.2">
      <c r="A30" t="s">
        <v>111</v>
      </c>
      <c r="B30" t="s">
        <v>34</v>
      </c>
      <c r="D30" t="s">
        <v>80</v>
      </c>
      <c r="E30" t="b">
        <v>0</v>
      </c>
      <c r="F30" t="b">
        <v>0</v>
      </c>
      <c r="G30" t="b">
        <v>0</v>
      </c>
      <c r="H30">
        <v>1</v>
      </c>
      <c r="J30">
        <f>VLOOKUP(A30,[1]output_Sound!$G:$H,2,FALSE)</f>
        <v>31</v>
      </c>
    </row>
    <row r="31" spans="1:10" x14ac:dyDescent="0.2">
      <c r="A31" t="s">
        <v>112</v>
      </c>
      <c r="B31" t="s">
        <v>36</v>
      </c>
      <c r="D31" t="s">
        <v>80</v>
      </c>
      <c r="E31" t="b">
        <v>0</v>
      </c>
      <c r="F31" t="b">
        <v>0</v>
      </c>
      <c r="G31" t="b">
        <v>0</v>
      </c>
      <c r="H31">
        <v>1</v>
      </c>
      <c r="J31">
        <f>VLOOKUP(A31,[1]output_Sound!$G:$H,2,FALSE)</f>
        <v>32</v>
      </c>
    </row>
    <row r="32" spans="1:10" x14ac:dyDescent="0.2">
      <c r="A32" t="s">
        <v>113</v>
      </c>
      <c r="B32" t="s">
        <v>139</v>
      </c>
      <c r="D32" t="s">
        <v>80</v>
      </c>
      <c r="E32" t="b">
        <v>0</v>
      </c>
      <c r="F32" t="b">
        <v>0</v>
      </c>
      <c r="G32" t="b">
        <v>0</v>
      </c>
      <c r="H32">
        <v>1</v>
      </c>
      <c r="J32">
        <f>VLOOKUP(A32,[1]output_Sound!$G:$H,2,FALSE)</f>
        <v>33</v>
      </c>
    </row>
    <row r="33" spans="1:27" x14ac:dyDescent="0.2">
      <c r="A33" t="s">
        <v>114</v>
      </c>
      <c r="B33" t="s">
        <v>197</v>
      </c>
      <c r="D33" t="s">
        <v>80</v>
      </c>
      <c r="E33" t="b">
        <v>0</v>
      </c>
      <c r="F33" t="b">
        <v>0</v>
      </c>
      <c r="G33" t="b">
        <v>0</v>
      </c>
      <c r="H33">
        <v>1</v>
      </c>
      <c r="J33">
        <f>VLOOKUP(A33,[1]output_Sound!$G:$H,2,FALSE)</f>
        <v>34</v>
      </c>
    </row>
    <row r="34" spans="1:27" x14ac:dyDescent="0.2">
      <c r="A34" t="s">
        <v>141</v>
      </c>
      <c r="B34" t="s">
        <v>35</v>
      </c>
      <c r="D34" t="s">
        <v>80</v>
      </c>
      <c r="E34" t="b">
        <v>0</v>
      </c>
      <c r="F34" t="b">
        <v>0</v>
      </c>
      <c r="G34" t="b">
        <v>0</v>
      </c>
      <c r="H34">
        <v>1</v>
      </c>
      <c r="J34">
        <f>VLOOKUP(A34,[1]output_Sound!$G:$H,2,FALSE)</f>
        <v>35</v>
      </c>
    </row>
    <row r="35" spans="1:27" x14ac:dyDescent="0.2">
      <c r="A35" t="s">
        <v>144</v>
      </c>
      <c r="B35" t="s">
        <v>146</v>
      </c>
      <c r="D35" t="s">
        <v>80</v>
      </c>
      <c r="E35" t="b">
        <v>0</v>
      </c>
      <c r="F35" t="b">
        <v>0</v>
      </c>
      <c r="G35" t="b">
        <v>0</v>
      </c>
      <c r="H35">
        <v>1</v>
      </c>
      <c r="J35">
        <f>VLOOKUP(A35,[1]output_Sound!$G:$H,2,FALSE)</f>
        <v>36</v>
      </c>
    </row>
    <row r="36" spans="1:27" x14ac:dyDescent="0.2">
      <c r="A36" t="s">
        <v>158</v>
      </c>
      <c r="B36" t="s">
        <v>160</v>
      </c>
      <c r="D36" t="s">
        <v>80</v>
      </c>
      <c r="E36" t="b">
        <v>0</v>
      </c>
      <c r="F36" t="b">
        <v>0</v>
      </c>
      <c r="G36" t="b">
        <v>0</v>
      </c>
      <c r="H36">
        <v>1</v>
      </c>
      <c r="J36">
        <f>VLOOKUP(A36,[1]output_Sound!$G:$H,2,FALSE)</f>
        <v>37</v>
      </c>
    </row>
    <row r="37" spans="1:27" x14ac:dyDescent="0.2">
      <c r="A37" t="s">
        <v>203</v>
      </c>
      <c r="B37" t="s">
        <v>205</v>
      </c>
      <c r="D37" t="s">
        <v>80</v>
      </c>
      <c r="E37" t="b">
        <v>0</v>
      </c>
      <c r="F37" t="b">
        <v>0</v>
      </c>
      <c r="G37" t="b">
        <v>0</v>
      </c>
      <c r="H37">
        <v>1</v>
      </c>
      <c r="J37" t="e">
        <f>VLOOKUP(A37,[1]output_Sound!$G:$H,2,FALSE)</f>
        <v>#N/A</v>
      </c>
    </row>
    <row r="38" spans="1:27" x14ac:dyDescent="0.2">
      <c r="A38" t="s">
        <v>208</v>
      </c>
      <c r="B38" t="s">
        <v>210</v>
      </c>
      <c r="D38" t="s">
        <v>80</v>
      </c>
      <c r="E38" t="b">
        <v>0</v>
      </c>
      <c r="F38" t="b">
        <v>0</v>
      </c>
      <c r="G38" t="b">
        <v>0</v>
      </c>
      <c r="H38">
        <v>1</v>
      </c>
      <c r="J38" t="e">
        <f>VLOOKUP(A38,[1]output_Sound!$G:$H,2,FALSE)</f>
        <v>#N/A</v>
      </c>
    </row>
    <row r="39" spans="1:27" x14ac:dyDescent="0.2">
      <c r="A39" t="s">
        <v>115</v>
      </c>
      <c r="B39" t="s">
        <v>151</v>
      </c>
      <c r="D39" t="s">
        <v>80</v>
      </c>
      <c r="E39" t="b">
        <v>0</v>
      </c>
      <c r="F39" t="b">
        <v>0</v>
      </c>
      <c r="G39" t="b">
        <v>0</v>
      </c>
      <c r="H39">
        <v>1</v>
      </c>
      <c r="J39">
        <f>VLOOKUP(A39,[1]output_Sound!$G:$H,2,FALSE)</f>
        <v>38</v>
      </c>
    </row>
    <row r="40" spans="1:27" x14ac:dyDescent="0.2">
      <c r="A40" t="s">
        <v>116</v>
      </c>
      <c r="B40" t="s">
        <v>153</v>
      </c>
      <c r="D40" t="s">
        <v>80</v>
      </c>
      <c r="E40" t="b">
        <v>0</v>
      </c>
      <c r="F40" t="b">
        <v>0</v>
      </c>
      <c r="G40" t="b">
        <v>0</v>
      </c>
      <c r="H40">
        <v>1</v>
      </c>
      <c r="J40">
        <f>VLOOKUP(A40,[1]output_Sound!$G:$H,2,FALSE)</f>
        <v>39</v>
      </c>
    </row>
    <row r="41" spans="1:27" x14ac:dyDescent="0.2">
      <c r="A41" t="s">
        <v>117</v>
      </c>
      <c r="D41" t="s">
        <v>80</v>
      </c>
      <c r="E41" t="b">
        <v>0</v>
      </c>
      <c r="F41" t="b">
        <v>0</v>
      </c>
      <c r="G41" t="b">
        <v>0</v>
      </c>
      <c r="H41">
        <v>1</v>
      </c>
      <c r="J41">
        <f>VLOOKUP(A41,[1]output_Sound!$G:$H,2,FALSE)</f>
        <v>40</v>
      </c>
    </row>
    <row r="42" spans="1:27" x14ac:dyDescent="0.2">
      <c r="A42" t="s">
        <v>118</v>
      </c>
      <c r="D42" t="s">
        <v>80</v>
      </c>
      <c r="E42" t="b">
        <v>0</v>
      </c>
      <c r="F42" t="b">
        <v>0</v>
      </c>
      <c r="G42" t="b">
        <v>0</v>
      </c>
      <c r="H42">
        <v>1</v>
      </c>
      <c r="J42">
        <f>VLOOKUP(A42,[1]output_Sound!$G:$H,2,FALSE)</f>
        <v>41</v>
      </c>
    </row>
    <row r="43" spans="1:27" x14ac:dyDescent="0.2">
      <c r="A43" t="s">
        <v>175</v>
      </c>
      <c r="B43" t="s">
        <v>177</v>
      </c>
      <c r="D43" t="s">
        <v>80</v>
      </c>
      <c r="E43" t="b">
        <v>0</v>
      </c>
      <c r="F43" t="b">
        <v>0</v>
      </c>
      <c r="G43" t="b">
        <v>0</v>
      </c>
      <c r="H43">
        <v>2</v>
      </c>
      <c r="J43">
        <f>VLOOKUP(A43,[1]output_Sound!$G:$H,2,FALSE)</f>
        <v>42</v>
      </c>
    </row>
    <row r="44" spans="1:27" x14ac:dyDescent="0.2">
      <c r="A44" t="s">
        <v>172</v>
      </c>
      <c r="B44" t="s">
        <v>174</v>
      </c>
      <c r="D44" t="s">
        <v>80</v>
      </c>
      <c r="E44" t="b">
        <v>0</v>
      </c>
      <c r="F44" t="b">
        <v>0</v>
      </c>
      <c r="G44" t="b">
        <v>0</v>
      </c>
      <c r="H44">
        <v>2</v>
      </c>
      <c r="J44">
        <f>VLOOKUP(A44,[1]output_Sound!$G:$H,2,FALSE)</f>
        <v>43</v>
      </c>
    </row>
    <row r="45" spans="1:27" x14ac:dyDescent="0.2">
      <c r="A45" t="s">
        <v>179</v>
      </c>
      <c r="B45" t="s">
        <v>178</v>
      </c>
      <c r="D45" t="s">
        <v>80</v>
      </c>
      <c r="E45" t="b">
        <v>0</v>
      </c>
      <c r="F45" t="b">
        <v>0</v>
      </c>
      <c r="G45" t="b">
        <v>0</v>
      </c>
      <c r="H45">
        <v>2</v>
      </c>
      <c r="J45">
        <f>VLOOKUP(A45,[1]output_Sound!$G:$H,2,FALSE)</f>
        <v>44</v>
      </c>
    </row>
    <row r="46" spans="1:27" x14ac:dyDescent="0.2">
      <c r="A46" s="3" t="s">
        <v>120</v>
      </c>
      <c r="B46" s="3" t="s">
        <v>186</v>
      </c>
      <c r="C46" s="3"/>
      <c r="D46" s="3" t="s">
        <v>80</v>
      </c>
      <c r="E46" s="3" t="b">
        <v>0</v>
      </c>
      <c r="F46" s="3" t="b">
        <v>0</v>
      </c>
      <c r="G46" s="3" t="b">
        <v>0</v>
      </c>
      <c r="H46" s="3">
        <v>2</v>
      </c>
      <c r="J46">
        <f>VLOOKUP(A46,[1]output_Sound!$G:$H,2,FALSE)</f>
        <v>45</v>
      </c>
      <c r="AA46" s="1"/>
    </row>
    <row r="47" spans="1:27" x14ac:dyDescent="0.2">
      <c r="A47" s="2" t="s">
        <v>121</v>
      </c>
      <c r="B47" s="2" t="s">
        <v>187</v>
      </c>
      <c r="C47" s="2"/>
      <c r="D47" s="2" t="s">
        <v>80</v>
      </c>
      <c r="E47" s="2" t="b">
        <v>0</v>
      </c>
      <c r="F47" s="2" t="b">
        <v>0</v>
      </c>
      <c r="G47" s="2" t="b">
        <v>0</v>
      </c>
      <c r="H47" s="2">
        <v>2</v>
      </c>
      <c r="J47">
        <f>VLOOKUP(A47,[1]output_Sound!$G:$H,2,FALSE)</f>
        <v>46</v>
      </c>
    </row>
    <row r="48" spans="1:27" x14ac:dyDescent="0.2">
      <c r="A48" t="s">
        <v>122</v>
      </c>
      <c r="B48" t="s">
        <v>182</v>
      </c>
      <c r="D48" t="s">
        <v>80</v>
      </c>
      <c r="E48" t="b">
        <v>0</v>
      </c>
      <c r="F48" t="b">
        <v>0</v>
      </c>
      <c r="G48" t="b">
        <v>0</v>
      </c>
      <c r="H48">
        <v>2</v>
      </c>
      <c r="J48">
        <f>VLOOKUP(A48,[1]output_Sound!$G:$H,2,FALSE)</f>
        <v>47</v>
      </c>
    </row>
    <row r="49" spans="1:10" x14ac:dyDescent="0.2">
      <c r="A49" t="s">
        <v>123</v>
      </c>
      <c r="B49" t="s">
        <v>182</v>
      </c>
      <c r="D49" t="s">
        <v>80</v>
      </c>
      <c r="E49" t="b">
        <v>0</v>
      </c>
      <c r="F49" t="b">
        <v>0</v>
      </c>
      <c r="G49" t="b">
        <v>0</v>
      </c>
      <c r="H49">
        <v>2</v>
      </c>
      <c r="J49">
        <f>VLOOKUP(A49,[1]output_Sound!$G:$H,2,FALSE)</f>
        <v>48</v>
      </c>
    </row>
    <row r="50" spans="1:10" x14ac:dyDescent="0.2">
      <c r="A50" t="s">
        <v>124</v>
      </c>
      <c r="B50" t="s">
        <v>185</v>
      </c>
      <c r="D50" t="s">
        <v>80</v>
      </c>
      <c r="E50" t="b">
        <v>0</v>
      </c>
      <c r="F50" t="b">
        <v>0</v>
      </c>
      <c r="G50" t="b">
        <v>0</v>
      </c>
      <c r="H50">
        <v>2</v>
      </c>
      <c r="J50">
        <f>VLOOKUP(A50,[1]output_Sound!$G:$H,2,FALSE)</f>
        <v>49</v>
      </c>
    </row>
    <row r="51" spans="1:10" x14ac:dyDescent="0.2">
      <c r="A51" t="s">
        <v>125</v>
      </c>
      <c r="B51" t="s">
        <v>183</v>
      </c>
      <c r="D51" t="s">
        <v>80</v>
      </c>
      <c r="E51" t="b">
        <v>0</v>
      </c>
      <c r="F51" t="b">
        <v>0</v>
      </c>
      <c r="G51" t="b">
        <v>0</v>
      </c>
      <c r="H51">
        <v>2</v>
      </c>
      <c r="J51">
        <f>VLOOKUP(A51,[1]output_Sound!$G:$H,2,FALSE)</f>
        <v>50</v>
      </c>
    </row>
    <row r="52" spans="1:10" x14ac:dyDescent="0.2">
      <c r="A52" t="s">
        <v>126</v>
      </c>
      <c r="B52" t="s">
        <v>189</v>
      </c>
      <c r="D52" t="s">
        <v>80</v>
      </c>
      <c r="E52" t="b">
        <v>0</v>
      </c>
      <c r="F52" t="b">
        <v>0</v>
      </c>
      <c r="G52" t="b">
        <v>0</v>
      </c>
      <c r="H52">
        <v>2</v>
      </c>
      <c r="J52">
        <f>VLOOKUP(A52,[1]output_Sound!$G:$H,2,FALSE)</f>
        <v>51</v>
      </c>
    </row>
    <row r="53" spans="1:10" x14ac:dyDescent="0.2">
      <c r="A53" t="s">
        <v>127</v>
      </c>
      <c r="B53" t="s">
        <v>188</v>
      </c>
      <c r="D53" t="s">
        <v>80</v>
      </c>
      <c r="E53" t="b">
        <v>0</v>
      </c>
      <c r="F53" t="b">
        <v>0</v>
      </c>
      <c r="G53" t="b">
        <v>0</v>
      </c>
      <c r="H53">
        <v>2</v>
      </c>
      <c r="J53">
        <f>VLOOKUP(A53,[1]output_Sound!$G:$H,2,FALSE)</f>
        <v>52</v>
      </c>
    </row>
    <row r="54" spans="1:10" x14ac:dyDescent="0.2">
      <c r="A54" t="s">
        <v>128</v>
      </c>
      <c r="B54" t="s">
        <v>182</v>
      </c>
      <c r="D54" t="s">
        <v>80</v>
      </c>
      <c r="E54" t="b">
        <v>0</v>
      </c>
      <c r="F54" t="b">
        <v>0</v>
      </c>
      <c r="G54" t="b">
        <v>0</v>
      </c>
      <c r="H54">
        <v>2</v>
      </c>
      <c r="J54">
        <f>VLOOKUP(A54,[1]output_Sound!$G:$H,2,FALSE)</f>
        <v>53</v>
      </c>
    </row>
    <row r="55" spans="1:10" x14ac:dyDescent="0.2">
      <c r="A55" t="s">
        <v>129</v>
      </c>
      <c r="B55" t="s">
        <v>182</v>
      </c>
      <c r="D55" t="s">
        <v>80</v>
      </c>
      <c r="E55" t="b">
        <v>0</v>
      </c>
      <c r="F55" t="b">
        <v>0</v>
      </c>
      <c r="G55" t="b">
        <v>0</v>
      </c>
      <c r="H55">
        <v>2</v>
      </c>
      <c r="J55">
        <f>VLOOKUP(A55,[1]output_Sound!$G:$H,2,FALSE)</f>
        <v>54</v>
      </c>
    </row>
    <row r="56" spans="1:10" x14ac:dyDescent="0.2">
      <c r="A56" t="s">
        <v>130</v>
      </c>
      <c r="B56" t="s">
        <v>37</v>
      </c>
      <c r="D56" t="s">
        <v>80</v>
      </c>
      <c r="E56" t="b">
        <v>0</v>
      </c>
      <c r="F56" t="b">
        <v>0</v>
      </c>
      <c r="G56" t="b">
        <v>0</v>
      </c>
      <c r="H56">
        <v>2</v>
      </c>
      <c r="J56">
        <f>VLOOKUP(A56,[1]output_Sound!$G:$H,2,FALSE)</f>
        <v>55</v>
      </c>
    </row>
    <row r="57" spans="1:10" x14ac:dyDescent="0.2">
      <c r="A57" t="s">
        <v>131</v>
      </c>
      <c r="B57" t="s">
        <v>28</v>
      </c>
      <c r="D57" t="s">
        <v>80</v>
      </c>
      <c r="E57" t="b">
        <v>0</v>
      </c>
      <c r="F57" t="b">
        <v>0</v>
      </c>
      <c r="G57" t="b">
        <v>0</v>
      </c>
      <c r="H57">
        <v>2</v>
      </c>
      <c r="J57">
        <f>VLOOKUP(A57,[1]output_Sound!$G:$H,2,FALSE)</f>
        <v>56</v>
      </c>
    </row>
    <row r="58" spans="1:10" x14ac:dyDescent="0.2">
      <c r="A58" t="s">
        <v>162</v>
      </c>
      <c r="B58" t="s">
        <v>184</v>
      </c>
      <c r="D58" t="s">
        <v>80</v>
      </c>
      <c r="E58" t="b">
        <v>0</v>
      </c>
      <c r="F58" t="b">
        <v>0</v>
      </c>
      <c r="G58" t="b">
        <v>0</v>
      </c>
      <c r="H58">
        <v>2</v>
      </c>
      <c r="J58">
        <f>VLOOKUP(A58,[1]output_Sound!$G:$H,2,FALSE)</f>
        <v>57</v>
      </c>
    </row>
    <row r="59" spans="1:10" x14ac:dyDescent="0.2">
      <c r="A59" t="s">
        <v>164</v>
      </c>
      <c r="B59" t="s">
        <v>166</v>
      </c>
      <c r="D59" t="s">
        <v>80</v>
      </c>
      <c r="E59" t="b">
        <v>0</v>
      </c>
      <c r="F59" t="b">
        <v>0</v>
      </c>
      <c r="G59" t="b">
        <v>0</v>
      </c>
      <c r="H59">
        <v>2</v>
      </c>
      <c r="J59">
        <f>VLOOKUP(A59,[1]output_Sound!$G:$H,2,FALSE)</f>
        <v>58</v>
      </c>
    </row>
    <row r="60" spans="1:10" x14ac:dyDescent="0.2">
      <c r="A60" t="s">
        <v>132</v>
      </c>
      <c r="B60" t="s">
        <v>202</v>
      </c>
      <c r="D60" t="s">
        <v>80</v>
      </c>
      <c r="E60" t="b">
        <v>0</v>
      </c>
      <c r="F60" t="b">
        <v>0</v>
      </c>
      <c r="G60" t="b">
        <v>0</v>
      </c>
      <c r="H60">
        <v>3</v>
      </c>
      <c r="J60">
        <f>VLOOKUP(A60,[1]output_Sound!$G:$H,2,FALSE)</f>
        <v>59</v>
      </c>
    </row>
    <row r="61" spans="1:10" x14ac:dyDescent="0.2">
      <c r="A61" t="s">
        <v>133</v>
      </c>
      <c r="D61" t="s">
        <v>80</v>
      </c>
      <c r="E61" t="b">
        <v>0</v>
      </c>
      <c r="F61" t="b">
        <v>0</v>
      </c>
      <c r="G61" t="b">
        <v>1</v>
      </c>
      <c r="J61">
        <f>VLOOKUP(A61,[1]output_Sound!$G:$H,2,FALSE)</f>
        <v>60</v>
      </c>
    </row>
    <row r="62" spans="1:10" x14ac:dyDescent="0.2">
      <c r="A62" t="s">
        <v>134</v>
      </c>
      <c r="D62" t="s">
        <v>80</v>
      </c>
      <c r="E62" t="b">
        <v>0</v>
      </c>
      <c r="F62" t="b">
        <v>0</v>
      </c>
      <c r="G62" t="b">
        <v>0</v>
      </c>
      <c r="J62">
        <f>VLOOKUP(A62,[1]output_Sound!$G:$H,2,FALSE)</f>
        <v>61</v>
      </c>
    </row>
    <row r="63" spans="1:10" x14ac:dyDescent="0.2">
      <c r="A63" t="s">
        <v>147</v>
      </c>
      <c r="D63" t="s">
        <v>80</v>
      </c>
      <c r="E63" t="b">
        <v>0</v>
      </c>
      <c r="F63" t="b">
        <v>0</v>
      </c>
      <c r="G63" t="b">
        <v>1</v>
      </c>
      <c r="H63">
        <v>40</v>
      </c>
      <c r="J63">
        <f>VLOOKUP(A63,[1]output_Sound!$G:$H,2,FALSE)</f>
        <v>62</v>
      </c>
    </row>
    <row r="64" spans="1:10" x14ac:dyDescent="0.2">
      <c r="A64" t="s">
        <v>135</v>
      </c>
      <c r="B64" t="s">
        <v>157</v>
      </c>
      <c r="D64" t="s">
        <v>80</v>
      </c>
      <c r="E64" t="b">
        <v>0</v>
      </c>
      <c r="F64" t="b">
        <v>0</v>
      </c>
      <c r="G64" t="b">
        <v>0</v>
      </c>
      <c r="H64">
        <v>5</v>
      </c>
      <c r="J64">
        <f>VLOOKUP(A64,[1]output_Sound!$G:$H,2,FALSE)</f>
        <v>63</v>
      </c>
    </row>
    <row r="65" spans="1:10" x14ac:dyDescent="0.2">
      <c r="A65" t="s">
        <v>136</v>
      </c>
      <c r="D65" t="s">
        <v>80</v>
      </c>
      <c r="E65" t="b">
        <v>1</v>
      </c>
      <c r="F65" t="b">
        <v>1</v>
      </c>
      <c r="G65" t="b">
        <v>1</v>
      </c>
      <c r="H65">
        <v>40</v>
      </c>
      <c r="J65">
        <f>VLOOKUP(A65,[1]output_Sound!$G:$H,2,FALSE)</f>
        <v>64</v>
      </c>
    </row>
    <row r="66" spans="1:10" x14ac:dyDescent="0.2">
      <c r="A66" t="s">
        <v>137</v>
      </c>
      <c r="B66" t="s">
        <v>192</v>
      </c>
      <c r="D66" t="s">
        <v>80</v>
      </c>
      <c r="E66" t="b">
        <v>1</v>
      </c>
      <c r="F66" t="b">
        <v>1</v>
      </c>
      <c r="G66" t="b">
        <v>1</v>
      </c>
      <c r="H66">
        <v>90</v>
      </c>
      <c r="J66">
        <f>VLOOKUP(A66,[1]output_Sound!$G:$H,2,FALSE)</f>
        <v>65</v>
      </c>
    </row>
    <row r="67" spans="1:10" x14ac:dyDescent="0.2">
      <c r="A67" t="s">
        <v>138</v>
      </c>
      <c r="D67" t="s">
        <v>80</v>
      </c>
      <c r="E67" t="b">
        <v>1</v>
      </c>
      <c r="F67" t="b">
        <v>1</v>
      </c>
      <c r="G67" t="b">
        <v>1</v>
      </c>
      <c r="H67">
        <v>40</v>
      </c>
      <c r="J67">
        <f>VLOOKUP(A67,[1]output_Sound!$G:$H,2,FALSE)</f>
        <v>66</v>
      </c>
    </row>
    <row r="70" spans="1:10" x14ac:dyDescent="0.2">
      <c r="A70" s="1"/>
      <c r="B70" s="1"/>
      <c r="C70" s="1"/>
      <c r="D70" s="1"/>
      <c r="E70" s="1"/>
      <c r="F70" s="1"/>
      <c r="G70" s="1"/>
      <c r="H70" s="1"/>
    </row>
    <row r="71" spans="1:10" x14ac:dyDescent="0.2">
      <c r="A71" s="2"/>
      <c r="B71" s="2"/>
      <c r="C71" s="2"/>
      <c r="D71" s="2"/>
      <c r="E71" s="2"/>
      <c r="F71" s="2"/>
      <c r="G71" s="2"/>
      <c r="H71" s="2"/>
    </row>
  </sheetData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26DE8-EEB5-4881-B5FB-028E91023083}">
  <sheetPr codeName="Sheet3"/>
  <dimension ref="A1:J3"/>
  <sheetViews>
    <sheetView workbookViewId="0">
      <selection activeCell="J1" sqref="J1"/>
    </sheetView>
  </sheetViews>
  <sheetFormatPr defaultRowHeight="14.25" x14ac:dyDescent="0.2"/>
  <cols>
    <col min="1" max="1" width="24" customWidth="1"/>
    <col min="2" max="2" width="17.375" customWidth="1"/>
  </cols>
  <sheetData>
    <row r="1" spans="1:10" s="2" customFormat="1" x14ac:dyDescent="0.2">
      <c r="A1" s="2" t="s">
        <v>0</v>
      </c>
      <c r="B1" s="2" t="s">
        <v>2</v>
      </c>
      <c r="C1" s="2" t="s">
        <v>3</v>
      </c>
      <c r="D1" s="2" t="s">
        <v>8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9</v>
      </c>
      <c r="J1" s="2" t="s">
        <v>212</v>
      </c>
    </row>
    <row r="2" spans="1:10" x14ac:dyDescent="0.2">
      <c r="A2" t="s">
        <v>70</v>
      </c>
      <c r="B2" t="s">
        <v>17</v>
      </c>
      <c r="D2" t="s">
        <v>81</v>
      </c>
      <c r="E2" t="b">
        <v>0</v>
      </c>
      <c r="F2" t="b">
        <v>0</v>
      </c>
      <c r="G2" t="b">
        <v>0</v>
      </c>
      <c r="H2">
        <v>1</v>
      </c>
      <c r="J2" t="e">
        <f>VLOOKUP(B2,Sheet1!$B:$J,9,FALSE)</f>
        <v>#N/A</v>
      </c>
    </row>
    <row r="3" spans="1:10" x14ac:dyDescent="0.2">
      <c r="A3" t="s">
        <v>71</v>
      </c>
      <c r="B3" t="s">
        <v>17</v>
      </c>
      <c r="D3" t="s">
        <v>81</v>
      </c>
      <c r="E3" t="b">
        <v>0</v>
      </c>
      <c r="F3" t="b">
        <v>0</v>
      </c>
      <c r="G3" t="b">
        <v>0</v>
      </c>
      <c r="H3">
        <v>1</v>
      </c>
      <c r="J3" t="e">
        <f>VLOOKUP(B3,Sheet1!B:J,9,FALSE)</f>
        <v>#N/A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FC49B-02AB-419C-97EF-002A1A172AB4}">
  <sheetPr codeName="Sheet4"/>
  <dimension ref="A1:J2"/>
  <sheetViews>
    <sheetView workbookViewId="0">
      <selection activeCell="J1" sqref="J1"/>
    </sheetView>
  </sheetViews>
  <sheetFormatPr defaultRowHeight="14.25" x14ac:dyDescent="0.2"/>
  <sheetData>
    <row r="1" spans="1:10" x14ac:dyDescent="0.2">
      <c r="A1" s="2" t="s">
        <v>0</v>
      </c>
      <c r="B1" s="2" t="s">
        <v>2</v>
      </c>
      <c r="C1" s="2" t="s">
        <v>3</v>
      </c>
      <c r="D1" s="2" t="s">
        <v>8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9</v>
      </c>
      <c r="J1" s="2" t="s">
        <v>212</v>
      </c>
    </row>
    <row r="2" spans="1:10" x14ac:dyDescent="0.2">
      <c r="A2" t="s">
        <v>69</v>
      </c>
      <c r="B2" t="s">
        <v>155</v>
      </c>
      <c r="D2" t="s">
        <v>83</v>
      </c>
      <c r="E2" t="b">
        <v>0</v>
      </c>
      <c r="F2" t="b">
        <v>0</v>
      </c>
      <c r="G2" t="b">
        <v>0</v>
      </c>
      <c r="H2">
        <v>1</v>
      </c>
      <c r="J2">
        <f>VLOOKUP(B2,Sheet1!$B:$J,9,FALSE)</f>
        <v>3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B7F679-E797-4BAF-A3C7-A42E3C0264C7}">
  <sheetPr codeName="Sheet5"/>
  <dimension ref="A1:J15"/>
  <sheetViews>
    <sheetView workbookViewId="0">
      <selection activeCell="J1" sqref="J1"/>
    </sheetView>
  </sheetViews>
  <sheetFormatPr defaultRowHeight="14.25" x14ac:dyDescent="0.2"/>
  <cols>
    <col min="1" max="1" width="30.75" customWidth="1"/>
    <col min="2" max="2" width="32" customWidth="1"/>
  </cols>
  <sheetData>
    <row r="1" spans="1:10" x14ac:dyDescent="0.2">
      <c r="A1" s="2" t="s">
        <v>0</v>
      </c>
      <c r="B1" s="2" t="s">
        <v>2</v>
      </c>
      <c r="C1" s="2" t="s">
        <v>3</v>
      </c>
      <c r="D1" s="2" t="s">
        <v>8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9</v>
      </c>
      <c r="J1" s="2" t="s">
        <v>212</v>
      </c>
    </row>
    <row r="2" spans="1:10" x14ac:dyDescent="0.2">
      <c r="A2" t="s">
        <v>42</v>
      </c>
      <c r="B2" t="s">
        <v>169</v>
      </c>
      <c r="D2" t="s">
        <v>83</v>
      </c>
      <c r="E2" t="b">
        <v>0</v>
      </c>
      <c r="F2" t="b">
        <v>0</v>
      </c>
      <c r="G2" t="b">
        <v>0</v>
      </c>
      <c r="H2">
        <v>1</v>
      </c>
      <c r="J2">
        <f>VLOOKUP(B2,Sheet1!$B:$J,9,FALSE)</f>
        <v>4</v>
      </c>
    </row>
    <row r="3" spans="1:10" x14ac:dyDescent="0.2">
      <c r="A3" t="s">
        <v>38</v>
      </c>
      <c r="B3" t="s">
        <v>191</v>
      </c>
      <c r="D3" t="s">
        <v>81</v>
      </c>
      <c r="E3" t="b">
        <v>0</v>
      </c>
      <c r="F3" t="b">
        <v>0</v>
      </c>
      <c r="G3" t="b">
        <v>0</v>
      </c>
      <c r="H3">
        <v>1</v>
      </c>
      <c r="J3">
        <f>VLOOKUP(B3,Sheet1!$B:$J,9,FALSE)</f>
        <v>14</v>
      </c>
    </row>
    <row r="4" spans="1:10" x14ac:dyDescent="0.2">
      <c r="A4" t="s">
        <v>58</v>
      </c>
      <c r="B4" t="s">
        <v>168</v>
      </c>
      <c r="D4" t="s">
        <v>81</v>
      </c>
      <c r="E4" t="b">
        <v>0</v>
      </c>
      <c r="F4" t="b">
        <v>0</v>
      </c>
      <c r="G4" t="b">
        <v>1</v>
      </c>
      <c r="H4">
        <v>1</v>
      </c>
      <c r="J4">
        <f>VLOOKUP(B4,Sheet1!$B:$J,9,FALSE)</f>
        <v>15</v>
      </c>
    </row>
    <row r="5" spans="1:10" x14ac:dyDescent="0.2">
      <c r="A5" t="s">
        <v>56</v>
      </c>
      <c r="B5" t="s">
        <v>193</v>
      </c>
      <c r="D5" t="s">
        <v>81</v>
      </c>
      <c r="E5" t="b">
        <v>1</v>
      </c>
      <c r="F5" t="b">
        <v>1</v>
      </c>
      <c r="G5" t="b">
        <v>1</v>
      </c>
      <c r="H5">
        <v>90</v>
      </c>
      <c r="J5">
        <f>VLOOKUP(B5,Sheet1!$B:$J,9,FALSE)</f>
        <v>16</v>
      </c>
    </row>
    <row r="6" spans="1:10" x14ac:dyDescent="0.2">
      <c r="A6" t="s">
        <v>12</v>
      </c>
      <c r="B6" t="s">
        <v>20</v>
      </c>
      <c r="D6" t="s">
        <v>81</v>
      </c>
      <c r="E6" t="b">
        <v>0</v>
      </c>
      <c r="F6" t="b">
        <v>0</v>
      </c>
      <c r="G6" t="b">
        <v>0</v>
      </c>
      <c r="H6">
        <v>1</v>
      </c>
      <c r="J6">
        <f>VLOOKUP(B6,Sheet1!$B:$J,9,FALSE)</f>
        <v>17</v>
      </c>
    </row>
    <row r="7" spans="1:10" x14ac:dyDescent="0.2">
      <c r="A7" t="s">
        <v>24</v>
      </c>
      <c r="B7" t="s">
        <v>25</v>
      </c>
      <c r="D7" t="s">
        <v>81</v>
      </c>
      <c r="E7" t="b">
        <v>0</v>
      </c>
      <c r="F7" t="b">
        <v>0</v>
      </c>
      <c r="G7" t="b">
        <v>0</v>
      </c>
      <c r="H7">
        <v>1</v>
      </c>
      <c r="J7">
        <f>VLOOKUP(B7,Sheet1!$B:$J,9,FALSE)</f>
        <v>18</v>
      </c>
    </row>
    <row r="8" spans="1:10" x14ac:dyDescent="0.2">
      <c r="A8" t="s">
        <v>14</v>
      </c>
      <c r="B8" t="s">
        <v>21</v>
      </c>
      <c r="D8" t="s">
        <v>81</v>
      </c>
      <c r="E8" t="b">
        <v>0</v>
      </c>
      <c r="F8" t="b">
        <v>0</v>
      </c>
      <c r="G8" t="b">
        <v>0</v>
      </c>
      <c r="H8">
        <v>1</v>
      </c>
      <c r="J8">
        <f>VLOOKUP(B8,Sheet1!$B:$J,9,FALSE)</f>
        <v>19</v>
      </c>
    </row>
    <row r="9" spans="1:10" x14ac:dyDescent="0.2">
      <c r="A9" t="s">
        <v>13</v>
      </c>
      <c r="B9" t="s">
        <v>195</v>
      </c>
      <c r="D9" t="s">
        <v>81</v>
      </c>
      <c r="E9" t="b">
        <v>0</v>
      </c>
      <c r="F9" t="b">
        <v>0</v>
      </c>
      <c r="G9" t="b">
        <v>0</v>
      </c>
      <c r="H9">
        <v>1</v>
      </c>
      <c r="J9">
        <f>VLOOKUP(B9,Sheet1!$B:$J,9,FALSE)</f>
        <v>20</v>
      </c>
    </row>
    <row r="10" spans="1:10" x14ac:dyDescent="0.2">
      <c r="A10" t="s">
        <v>15</v>
      </c>
      <c r="B10" t="s">
        <v>196</v>
      </c>
      <c r="D10" t="s">
        <v>81</v>
      </c>
      <c r="E10" t="b">
        <v>0</v>
      </c>
      <c r="F10" t="b">
        <v>0</v>
      </c>
      <c r="G10" t="b">
        <v>0</v>
      </c>
      <c r="H10">
        <v>1</v>
      </c>
      <c r="J10">
        <f>VLOOKUP(B10,Sheet1!$B:$J,9,FALSE)</f>
        <v>21</v>
      </c>
    </row>
    <row r="11" spans="1:10" x14ac:dyDescent="0.2">
      <c r="A11" t="s">
        <v>18</v>
      </c>
      <c r="B11" t="s">
        <v>19</v>
      </c>
      <c r="D11" t="s">
        <v>81</v>
      </c>
      <c r="E11" t="b">
        <v>0</v>
      </c>
      <c r="F11" t="b">
        <v>0</v>
      </c>
      <c r="G11" t="b">
        <v>0</v>
      </c>
      <c r="H11">
        <v>1</v>
      </c>
      <c r="J11">
        <f>VLOOKUP(B11,Sheet1!$B:$J,9,FALSE)</f>
        <v>22</v>
      </c>
    </row>
    <row r="12" spans="1:10" x14ac:dyDescent="0.2">
      <c r="A12" t="s">
        <v>22</v>
      </c>
      <c r="B12" t="s">
        <v>23</v>
      </c>
      <c r="D12" t="s">
        <v>81</v>
      </c>
      <c r="E12" t="b">
        <v>0</v>
      </c>
      <c r="F12" t="b">
        <v>0</v>
      </c>
      <c r="G12" t="b">
        <v>0</v>
      </c>
      <c r="H12">
        <v>1</v>
      </c>
      <c r="J12">
        <f>VLOOKUP(B12,Sheet1!$B:$J,9,FALSE)</f>
        <v>23</v>
      </c>
    </row>
    <row r="13" spans="1:10" x14ac:dyDescent="0.2">
      <c r="A13" t="s">
        <v>76</v>
      </c>
      <c r="B13" t="s">
        <v>149</v>
      </c>
      <c r="D13" t="s">
        <v>81</v>
      </c>
      <c r="E13" t="b">
        <v>0</v>
      </c>
      <c r="F13" t="b">
        <v>0</v>
      </c>
      <c r="G13" t="b">
        <v>0</v>
      </c>
      <c r="H13">
        <v>1</v>
      </c>
      <c r="J13">
        <f>VLOOKUP(B13,Sheet1!$B:$J,9,FALSE)</f>
        <v>24</v>
      </c>
    </row>
    <row r="14" spans="1:10" x14ac:dyDescent="0.2">
      <c r="A14" t="s">
        <v>77</v>
      </c>
      <c r="B14" t="s">
        <v>143</v>
      </c>
      <c r="D14" t="s">
        <v>81</v>
      </c>
      <c r="E14" t="b">
        <v>0</v>
      </c>
      <c r="F14" t="b">
        <v>0</v>
      </c>
      <c r="G14" t="b">
        <v>0</v>
      </c>
      <c r="H14">
        <v>1</v>
      </c>
      <c r="J14">
        <f>VLOOKUP(B14,Sheet1!$B:$J,9,FALSE)</f>
        <v>25</v>
      </c>
    </row>
    <row r="15" spans="1:10" x14ac:dyDescent="0.2">
      <c r="A15" t="s">
        <v>79</v>
      </c>
      <c r="B15" t="s">
        <v>150</v>
      </c>
      <c r="D15" t="s">
        <v>81</v>
      </c>
      <c r="E15" t="b">
        <v>0</v>
      </c>
      <c r="F15" t="b">
        <v>0</v>
      </c>
      <c r="G15" t="b">
        <v>0</v>
      </c>
      <c r="H15">
        <v>1</v>
      </c>
      <c r="J15">
        <f>VLOOKUP(B15,Sheet1!$B:$J,9,FALSE)</f>
        <v>26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E2B1F-B27C-4FED-93AA-DD51FB4F3DE8}">
  <sheetPr codeName="Sheet6"/>
  <dimension ref="A1:J14"/>
  <sheetViews>
    <sheetView workbookViewId="0">
      <selection activeCell="J1" sqref="J1"/>
    </sheetView>
  </sheetViews>
  <sheetFormatPr defaultRowHeight="14.25" x14ac:dyDescent="0.2"/>
  <cols>
    <col min="1" max="1" width="33.625" customWidth="1"/>
    <col min="2" max="2" width="25.375" customWidth="1"/>
  </cols>
  <sheetData>
    <row r="1" spans="1:10" x14ac:dyDescent="0.2">
      <c r="A1" s="2" t="s">
        <v>0</v>
      </c>
      <c r="B1" s="2" t="s">
        <v>2</v>
      </c>
      <c r="C1" s="2" t="s">
        <v>3</v>
      </c>
      <c r="D1" s="2" t="s">
        <v>8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9</v>
      </c>
      <c r="J1" s="2" t="s">
        <v>212</v>
      </c>
    </row>
    <row r="2" spans="1:10" x14ac:dyDescent="0.2">
      <c r="A2" t="s">
        <v>30</v>
      </c>
      <c r="B2" t="s">
        <v>26</v>
      </c>
      <c r="D2" t="s">
        <v>81</v>
      </c>
      <c r="E2" t="b">
        <v>0</v>
      </c>
      <c r="F2" t="b">
        <v>0</v>
      </c>
      <c r="G2" t="b">
        <v>0</v>
      </c>
      <c r="H2">
        <v>1</v>
      </c>
      <c r="J2">
        <f>VLOOKUP(B2,Sheet1!$B:$J,9,FALSE)</f>
        <v>27</v>
      </c>
    </row>
    <row r="3" spans="1:10" x14ac:dyDescent="0.2">
      <c r="A3" t="s">
        <v>31</v>
      </c>
      <c r="B3" t="s">
        <v>33</v>
      </c>
      <c r="D3" t="s">
        <v>81</v>
      </c>
      <c r="E3" t="b">
        <v>0</v>
      </c>
      <c r="F3" t="b">
        <v>0</v>
      </c>
      <c r="G3" t="b">
        <v>0</v>
      </c>
      <c r="H3">
        <v>1</v>
      </c>
      <c r="J3">
        <f>VLOOKUP(B3,Sheet1!$B:$J,9,FALSE)</f>
        <v>28</v>
      </c>
    </row>
    <row r="4" spans="1:10" x14ac:dyDescent="0.2">
      <c r="A4" t="s">
        <v>72</v>
      </c>
      <c r="B4" t="s">
        <v>199</v>
      </c>
      <c r="D4" t="s">
        <v>81</v>
      </c>
      <c r="E4" t="b">
        <v>0</v>
      </c>
      <c r="F4" t="b">
        <v>0</v>
      </c>
      <c r="G4" t="b">
        <v>0</v>
      </c>
      <c r="H4">
        <v>1</v>
      </c>
      <c r="J4">
        <f>VLOOKUP(B4,Sheet1!$B:$J,9,FALSE)</f>
        <v>29</v>
      </c>
    </row>
    <row r="5" spans="1:10" x14ac:dyDescent="0.2">
      <c r="A5" t="s">
        <v>73</v>
      </c>
      <c r="B5" t="s">
        <v>201</v>
      </c>
      <c r="D5" t="s">
        <v>81</v>
      </c>
      <c r="E5" t="b">
        <v>0</v>
      </c>
      <c r="F5" t="b">
        <v>0</v>
      </c>
      <c r="G5" t="b">
        <v>0</v>
      </c>
      <c r="H5">
        <v>1</v>
      </c>
      <c r="J5">
        <f>VLOOKUP(B5,Sheet1!$B:$J,9,FALSE)</f>
        <v>30</v>
      </c>
    </row>
    <row r="6" spans="1:10" x14ac:dyDescent="0.2">
      <c r="A6" t="s">
        <v>32</v>
      </c>
      <c r="B6" t="s">
        <v>34</v>
      </c>
      <c r="D6" t="s">
        <v>81</v>
      </c>
      <c r="E6" t="b">
        <v>0</v>
      </c>
      <c r="F6" t="b">
        <v>0</v>
      </c>
      <c r="G6" t="b">
        <v>0</v>
      </c>
      <c r="H6">
        <v>1</v>
      </c>
      <c r="J6">
        <f>VLOOKUP(B6,Sheet1!$B:$J,9,FALSE)</f>
        <v>31</v>
      </c>
    </row>
    <row r="7" spans="1:10" x14ac:dyDescent="0.2">
      <c r="A7" t="s">
        <v>74</v>
      </c>
      <c r="B7" t="s">
        <v>36</v>
      </c>
      <c r="D7" t="s">
        <v>81</v>
      </c>
      <c r="E7" t="b">
        <v>0</v>
      </c>
      <c r="F7" t="b">
        <v>0</v>
      </c>
      <c r="G7" t="b">
        <v>0</v>
      </c>
      <c r="H7">
        <v>1</v>
      </c>
      <c r="J7">
        <f>VLOOKUP(B7,Sheet1!$B:$J,9,FALSE)</f>
        <v>32</v>
      </c>
    </row>
    <row r="8" spans="1:10" x14ac:dyDescent="0.2">
      <c r="A8" t="s">
        <v>75</v>
      </c>
      <c r="B8" t="s">
        <v>140</v>
      </c>
      <c r="D8" t="s">
        <v>81</v>
      </c>
      <c r="E8" t="b">
        <v>0</v>
      </c>
      <c r="F8" t="b">
        <v>0</v>
      </c>
      <c r="G8" t="b">
        <v>0</v>
      </c>
      <c r="H8">
        <v>1</v>
      </c>
      <c r="J8">
        <f>VLOOKUP(B8,Sheet1!$B:$J,9,FALSE)</f>
        <v>33</v>
      </c>
    </row>
    <row r="9" spans="1:10" x14ac:dyDescent="0.2">
      <c r="A9" t="s">
        <v>43</v>
      </c>
      <c r="B9" t="s">
        <v>197</v>
      </c>
      <c r="D9" t="s">
        <v>81</v>
      </c>
      <c r="E9" t="b">
        <v>0</v>
      </c>
      <c r="F9" t="b">
        <v>0</v>
      </c>
      <c r="G9" t="b">
        <v>0</v>
      </c>
      <c r="H9">
        <v>1</v>
      </c>
      <c r="J9">
        <f>VLOOKUP(B9,Sheet1!$B:$J,9,FALSE)</f>
        <v>34</v>
      </c>
    </row>
    <row r="10" spans="1:10" x14ac:dyDescent="0.2">
      <c r="A10" t="s">
        <v>142</v>
      </c>
      <c r="B10" t="s">
        <v>35</v>
      </c>
      <c r="D10" t="s">
        <v>81</v>
      </c>
      <c r="E10" t="b">
        <v>0</v>
      </c>
      <c r="F10" t="b">
        <v>0</v>
      </c>
      <c r="G10" t="b">
        <v>0</v>
      </c>
      <c r="H10">
        <v>1</v>
      </c>
      <c r="J10">
        <f>VLOOKUP(B10,Sheet1!$B:$J,9,FALSE)</f>
        <v>35</v>
      </c>
    </row>
    <row r="11" spans="1:10" x14ac:dyDescent="0.2">
      <c r="A11" t="s">
        <v>145</v>
      </c>
      <c r="B11" t="s">
        <v>146</v>
      </c>
      <c r="D11" t="s">
        <v>81</v>
      </c>
      <c r="E11" t="b">
        <v>0</v>
      </c>
      <c r="F11" t="b">
        <v>0</v>
      </c>
      <c r="G11" t="b">
        <v>0</v>
      </c>
      <c r="H11">
        <v>1</v>
      </c>
      <c r="J11">
        <f>VLOOKUP(B11,Sheet1!$B:$J,9,FALSE)</f>
        <v>36</v>
      </c>
    </row>
    <row r="12" spans="1:10" x14ac:dyDescent="0.2">
      <c r="A12" t="s">
        <v>159</v>
      </c>
      <c r="B12" t="s">
        <v>161</v>
      </c>
      <c r="D12" t="s">
        <v>81</v>
      </c>
      <c r="E12" t="b">
        <v>0</v>
      </c>
      <c r="F12" t="b">
        <v>0</v>
      </c>
      <c r="G12" t="b">
        <v>0</v>
      </c>
      <c r="H12">
        <v>1</v>
      </c>
      <c r="J12">
        <f>VLOOKUP(B12,Sheet1!$B:$J,9,FALSE)</f>
        <v>37</v>
      </c>
    </row>
    <row r="13" spans="1:10" x14ac:dyDescent="0.2">
      <c r="A13" t="s">
        <v>204</v>
      </c>
      <c r="B13" t="s">
        <v>206</v>
      </c>
      <c r="D13" t="s">
        <v>207</v>
      </c>
      <c r="E13" t="b">
        <v>0</v>
      </c>
      <c r="F13" t="b">
        <v>0</v>
      </c>
      <c r="G13" t="b">
        <v>0</v>
      </c>
      <c r="H13">
        <v>1</v>
      </c>
      <c r="J13" t="e">
        <f>VLOOKUP(B13,Sheet1!$B:$J,9,FALSE)</f>
        <v>#N/A</v>
      </c>
    </row>
    <row r="14" spans="1:10" x14ac:dyDescent="0.2">
      <c r="A14" t="s">
        <v>209</v>
      </c>
      <c r="B14" t="s">
        <v>211</v>
      </c>
      <c r="D14" t="s">
        <v>207</v>
      </c>
      <c r="E14" t="b">
        <v>0</v>
      </c>
      <c r="F14" t="b">
        <v>0</v>
      </c>
      <c r="G14" t="b">
        <v>0</v>
      </c>
      <c r="H14">
        <v>1</v>
      </c>
      <c r="J14" t="e">
        <f>VLOOKUP(B14,Sheet1!$B:$J,9,FALSE)</f>
        <v>#N/A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78538-4131-453F-B4B8-B923CAECB2C4}">
  <sheetPr codeName="Sheet7"/>
  <dimension ref="A1:J4"/>
  <sheetViews>
    <sheetView workbookViewId="0">
      <selection activeCell="J1" sqref="J1"/>
    </sheetView>
  </sheetViews>
  <sheetFormatPr defaultRowHeight="14.25" x14ac:dyDescent="0.2"/>
  <cols>
    <col min="1" max="1" width="16.875" customWidth="1"/>
  </cols>
  <sheetData>
    <row r="1" spans="1:10" x14ac:dyDescent="0.2">
      <c r="A1" s="2" t="s">
        <v>0</v>
      </c>
      <c r="B1" s="2" t="s">
        <v>2</v>
      </c>
      <c r="C1" s="2" t="s">
        <v>3</v>
      </c>
      <c r="D1" s="2" t="s">
        <v>8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9</v>
      </c>
      <c r="J1" s="2" t="s">
        <v>212</v>
      </c>
    </row>
    <row r="2" spans="1:10" x14ac:dyDescent="0.2">
      <c r="A2" t="s">
        <v>39</v>
      </c>
      <c r="B2" t="s">
        <v>155</v>
      </c>
      <c r="D2" t="s">
        <v>83</v>
      </c>
      <c r="E2" t="b">
        <v>0</v>
      </c>
      <c r="F2" t="b">
        <v>0</v>
      </c>
      <c r="G2" t="b">
        <v>0</v>
      </c>
      <c r="H2">
        <v>1</v>
      </c>
      <c r="J2">
        <f>VLOOKUP(B2,Sheet1!$B:$J,9,FALSE)</f>
        <v>3</v>
      </c>
    </row>
    <row r="3" spans="1:10" x14ac:dyDescent="0.2">
      <c r="A3" t="s">
        <v>40</v>
      </c>
      <c r="B3" t="s">
        <v>171</v>
      </c>
      <c r="D3" t="s">
        <v>83</v>
      </c>
      <c r="E3" t="b">
        <v>0</v>
      </c>
      <c r="F3" t="b">
        <v>0</v>
      </c>
      <c r="G3" t="b">
        <v>0</v>
      </c>
      <c r="H3">
        <v>1</v>
      </c>
      <c r="J3">
        <f>VLOOKUP(B3,Sheet1!$B:$J,9,FALSE)</f>
        <v>6</v>
      </c>
    </row>
    <row r="4" spans="1:10" x14ac:dyDescent="0.2">
      <c r="A4" t="s">
        <v>41</v>
      </c>
      <c r="B4" t="s">
        <v>170</v>
      </c>
      <c r="D4" t="s">
        <v>83</v>
      </c>
      <c r="E4" t="b">
        <v>0</v>
      </c>
      <c r="F4" t="b">
        <v>0</v>
      </c>
      <c r="G4" t="b">
        <v>0</v>
      </c>
      <c r="H4">
        <v>1</v>
      </c>
      <c r="J4">
        <f>VLOOKUP(B4,Sheet1!$B:$J,9,FALSE)</f>
        <v>7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5EF34-8178-4A0B-B4E0-2811ABA05111}">
  <sheetPr codeName="Sheet8"/>
  <dimension ref="A1:J1"/>
  <sheetViews>
    <sheetView workbookViewId="0">
      <selection activeCell="J1" sqref="J1"/>
    </sheetView>
  </sheetViews>
  <sheetFormatPr defaultRowHeight="14.25" x14ac:dyDescent="0.2"/>
  <sheetData>
    <row r="1" spans="1:10" x14ac:dyDescent="0.2">
      <c r="A1" s="2" t="s">
        <v>0</v>
      </c>
      <c r="B1" s="2" t="s">
        <v>2</v>
      </c>
      <c r="C1" s="2" t="s">
        <v>3</v>
      </c>
      <c r="D1" s="2" t="s">
        <v>8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9</v>
      </c>
      <c r="J1" s="2" t="s">
        <v>212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2FFBD-F960-475D-8660-122CD222CD42}">
  <sheetPr codeName="Sheet9"/>
  <dimension ref="A1:J1"/>
  <sheetViews>
    <sheetView workbookViewId="0">
      <selection activeCell="J1" sqref="J1"/>
    </sheetView>
  </sheetViews>
  <sheetFormatPr defaultRowHeight="14.25" x14ac:dyDescent="0.2"/>
  <sheetData>
    <row r="1" spans="1:10" x14ac:dyDescent="0.2">
      <c r="A1" s="2" t="s">
        <v>0</v>
      </c>
      <c r="B1" s="2" t="s">
        <v>2</v>
      </c>
      <c r="C1" s="2" t="s">
        <v>3</v>
      </c>
      <c r="D1" s="2" t="s">
        <v>8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9</v>
      </c>
      <c r="J1" s="2" t="s">
        <v>212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36658-C725-49AB-9628-F57138695301}">
  <sheetPr codeName="Sheet10"/>
  <dimension ref="A1:J10"/>
  <sheetViews>
    <sheetView workbookViewId="0">
      <selection activeCell="J1" sqref="J1"/>
    </sheetView>
  </sheetViews>
  <sheetFormatPr defaultRowHeight="14.25" x14ac:dyDescent="0.2"/>
  <cols>
    <col min="2" max="2" width="29" customWidth="1"/>
  </cols>
  <sheetData>
    <row r="1" spans="1:10" x14ac:dyDescent="0.2">
      <c r="A1" s="2" t="s">
        <v>0</v>
      </c>
      <c r="B1" s="2" t="s">
        <v>2</v>
      </c>
      <c r="C1" s="2" t="s">
        <v>3</v>
      </c>
      <c r="D1" s="2" t="s">
        <v>8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9</v>
      </c>
      <c r="J1" s="2" t="s">
        <v>212</v>
      </c>
    </row>
    <row r="2" spans="1:10" x14ac:dyDescent="0.2">
      <c r="A2" t="s">
        <v>59</v>
      </c>
      <c r="B2" t="s">
        <v>156</v>
      </c>
      <c r="D2" t="s">
        <v>83</v>
      </c>
      <c r="E2" t="b">
        <v>0</v>
      </c>
      <c r="F2" t="b">
        <v>0</v>
      </c>
      <c r="G2" t="b">
        <v>0</v>
      </c>
      <c r="H2">
        <v>1</v>
      </c>
      <c r="J2">
        <f>VLOOKUP(B2,Sheet1!$B:$J,9,FALSE)</f>
        <v>8</v>
      </c>
    </row>
    <row r="3" spans="1:10" x14ac:dyDescent="0.2">
      <c r="A3" t="s">
        <v>60</v>
      </c>
      <c r="D3" t="s">
        <v>83</v>
      </c>
      <c r="E3" t="b">
        <v>0</v>
      </c>
      <c r="F3" t="b">
        <v>0</v>
      </c>
      <c r="G3" t="b">
        <v>0</v>
      </c>
      <c r="H3">
        <v>1</v>
      </c>
      <c r="J3" t="e">
        <f>VLOOKUP(B3,Sheet1!$B:$J,9,FALSE)</f>
        <v>#N/A</v>
      </c>
    </row>
    <row r="4" spans="1:10" x14ac:dyDescent="0.2">
      <c r="A4" t="s">
        <v>61</v>
      </c>
      <c r="B4" t="s">
        <v>155</v>
      </c>
      <c r="D4" t="s">
        <v>83</v>
      </c>
      <c r="E4" t="b">
        <v>0</v>
      </c>
      <c r="F4" t="b">
        <v>0</v>
      </c>
      <c r="G4" t="b">
        <v>0</v>
      </c>
      <c r="H4">
        <v>1</v>
      </c>
      <c r="J4">
        <f>VLOOKUP(B4,Sheet1!$B:$J,9,FALSE)</f>
        <v>3</v>
      </c>
    </row>
    <row r="5" spans="1:10" x14ac:dyDescent="0.2">
      <c r="A5" t="s">
        <v>62</v>
      </c>
      <c r="B5" t="s">
        <v>151</v>
      </c>
      <c r="D5" t="s">
        <v>81</v>
      </c>
      <c r="E5" t="b">
        <v>0</v>
      </c>
      <c r="F5" t="b">
        <v>0</v>
      </c>
      <c r="G5" t="b">
        <v>0</v>
      </c>
      <c r="H5">
        <v>1</v>
      </c>
      <c r="J5">
        <f>VLOOKUP(B5,Sheet1!$B:$J,9,FALSE)</f>
        <v>38</v>
      </c>
    </row>
    <row r="6" spans="1:10" x14ac:dyDescent="0.2">
      <c r="A6" t="s">
        <v>63</v>
      </c>
      <c r="B6" t="s">
        <v>153</v>
      </c>
      <c r="D6" t="s">
        <v>81</v>
      </c>
      <c r="E6" t="b">
        <v>0</v>
      </c>
      <c r="F6" t="b">
        <v>0</v>
      </c>
      <c r="G6" t="b">
        <v>0</v>
      </c>
      <c r="H6">
        <v>1</v>
      </c>
      <c r="J6">
        <f>VLOOKUP(B6,Sheet1!$B:$J,9,FALSE)</f>
        <v>39</v>
      </c>
    </row>
    <row r="7" spans="1:10" x14ac:dyDescent="0.2">
      <c r="A7" t="s">
        <v>64</v>
      </c>
      <c r="D7" t="s">
        <v>81</v>
      </c>
      <c r="E7" t="b">
        <v>0</v>
      </c>
      <c r="F7" t="b">
        <v>0</v>
      </c>
      <c r="G7" t="b">
        <v>0</v>
      </c>
      <c r="H7">
        <v>1</v>
      </c>
      <c r="J7" t="e">
        <f>VLOOKUP(B7,Sheet1!$B:$J,9,FALSE)</f>
        <v>#N/A</v>
      </c>
    </row>
    <row r="8" spans="1:10" x14ac:dyDescent="0.2">
      <c r="A8" t="s">
        <v>65</v>
      </c>
      <c r="D8" t="s">
        <v>81</v>
      </c>
      <c r="E8" t="b">
        <v>0</v>
      </c>
      <c r="F8" t="b">
        <v>0</v>
      </c>
      <c r="G8" t="b">
        <v>0</v>
      </c>
      <c r="H8">
        <v>1</v>
      </c>
      <c r="J8" t="e">
        <f>VLOOKUP(B8,Sheet1!$B:$J,9,FALSE)</f>
        <v>#N/A</v>
      </c>
    </row>
    <row r="9" spans="1:10" x14ac:dyDescent="0.2">
      <c r="A9" t="s">
        <v>66</v>
      </c>
      <c r="B9" t="s">
        <v>152</v>
      </c>
      <c r="D9" t="s">
        <v>83</v>
      </c>
      <c r="E9" t="b">
        <v>0</v>
      </c>
      <c r="F9" t="b">
        <v>0</v>
      </c>
      <c r="G9" t="b">
        <v>0</v>
      </c>
      <c r="H9">
        <v>1</v>
      </c>
      <c r="J9">
        <f>VLOOKUP(B9,Sheet1!$B:$J,9,FALSE)</f>
        <v>11</v>
      </c>
    </row>
    <row r="10" spans="1:10" x14ac:dyDescent="0.2">
      <c r="A10" t="s">
        <v>67</v>
      </c>
      <c r="B10" t="s">
        <v>155</v>
      </c>
      <c r="D10" t="s">
        <v>83</v>
      </c>
      <c r="E10" t="b">
        <v>0</v>
      </c>
      <c r="F10" t="b">
        <v>0</v>
      </c>
      <c r="G10" t="b">
        <v>0</v>
      </c>
      <c r="H10">
        <v>1</v>
      </c>
      <c r="J10">
        <f>VLOOKUP(B10,Sheet1!$B:$J,9,FALSE)</f>
        <v>3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3DEBA5-D7F3-4D7E-A766-8D4047F0C734}">
  <sheetPr codeName="Sheet11"/>
  <dimension ref="A1:J19"/>
  <sheetViews>
    <sheetView workbookViewId="0">
      <selection activeCell="J1" sqref="J1"/>
    </sheetView>
  </sheetViews>
  <sheetFormatPr defaultRowHeight="14.25" x14ac:dyDescent="0.2"/>
  <sheetData>
    <row r="1" spans="1:10" x14ac:dyDescent="0.2">
      <c r="A1" s="2" t="s">
        <v>0</v>
      </c>
      <c r="B1" s="2" t="s">
        <v>2</v>
      </c>
      <c r="C1" s="2" t="s">
        <v>3</v>
      </c>
      <c r="D1" s="2" t="s">
        <v>8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9</v>
      </c>
      <c r="J1" s="2" t="s">
        <v>212</v>
      </c>
    </row>
    <row r="2" spans="1:10" x14ac:dyDescent="0.2">
      <c r="A2" t="s">
        <v>176</v>
      </c>
      <c r="B2" t="s">
        <v>177</v>
      </c>
      <c r="D2" t="s">
        <v>81</v>
      </c>
      <c r="E2" t="b">
        <v>0</v>
      </c>
      <c r="F2" t="b">
        <v>0</v>
      </c>
      <c r="G2" t="b">
        <v>0</v>
      </c>
      <c r="H2">
        <v>2</v>
      </c>
      <c r="J2">
        <f>VLOOKUP(B2,Sheet1!$B:$J,9,FALSE)</f>
        <v>42</v>
      </c>
    </row>
    <row r="3" spans="1:10" x14ac:dyDescent="0.2">
      <c r="A3" t="s">
        <v>173</v>
      </c>
      <c r="B3" t="s">
        <v>174</v>
      </c>
      <c r="D3" t="s">
        <v>81</v>
      </c>
      <c r="E3" t="b">
        <v>0</v>
      </c>
      <c r="F3" t="b">
        <v>0</v>
      </c>
      <c r="G3" t="b">
        <v>0</v>
      </c>
      <c r="H3">
        <v>2</v>
      </c>
      <c r="J3">
        <f>VLOOKUP(B3,Sheet1!$B:$J,9,FALSE)</f>
        <v>43</v>
      </c>
    </row>
    <row r="4" spans="1:10" x14ac:dyDescent="0.2">
      <c r="A4" t="s">
        <v>180</v>
      </c>
      <c r="B4" t="s">
        <v>178</v>
      </c>
      <c r="D4" t="s">
        <v>81</v>
      </c>
      <c r="E4" t="b">
        <v>0</v>
      </c>
      <c r="F4" t="b">
        <v>0</v>
      </c>
      <c r="G4" t="b">
        <v>0</v>
      </c>
      <c r="H4">
        <v>2</v>
      </c>
      <c r="J4">
        <f>VLOOKUP(B4,Sheet1!$B:$J,9,FALSE)</f>
        <v>44</v>
      </c>
    </row>
    <row r="5" spans="1:10" x14ac:dyDescent="0.2">
      <c r="A5" t="s">
        <v>57</v>
      </c>
      <c r="B5" t="s">
        <v>181</v>
      </c>
      <c r="D5" t="s">
        <v>83</v>
      </c>
      <c r="E5" t="b">
        <v>0</v>
      </c>
      <c r="F5" t="b">
        <v>0</v>
      </c>
      <c r="G5" t="b">
        <v>0</v>
      </c>
      <c r="H5">
        <v>2</v>
      </c>
      <c r="J5">
        <f>VLOOKUP(B5,Sheet1!$B:$J,9,FALSE)</f>
        <v>13</v>
      </c>
    </row>
    <row r="6" spans="1:10" x14ac:dyDescent="0.2">
      <c r="A6" t="s">
        <v>54</v>
      </c>
      <c r="B6" t="s">
        <v>186</v>
      </c>
      <c r="D6" t="s">
        <v>81</v>
      </c>
      <c r="E6" t="b">
        <v>0</v>
      </c>
      <c r="F6" t="b">
        <v>0</v>
      </c>
      <c r="G6" t="b">
        <v>0</v>
      </c>
      <c r="H6">
        <v>2</v>
      </c>
      <c r="J6">
        <f>VLOOKUP(B6,Sheet1!$B:$J,9,FALSE)</f>
        <v>45</v>
      </c>
    </row>
    <row r="7" spans="1:10" x14ac:dyDescent="0.2">
      <c r="A7" t="s">
        <v>55</v>
      </c>
      <c r="B7" t="s">
        <v>187</v>
      </c>
      <c r="D7" t="s">
        <v>81</v>
      </c>
      <c r="E7" t="b">
        <v>0</v>
      </c>
      <c r="F7" t="b">
        <v>0</v>
      </c>
      <c r="G7" t="b">
        <v>0</v>
      </c>
      <c r="H7">
        <v>2</v>
      </c>
      <c r="J7">
        <f>VLOOKUP(B7,Sheet1!$B:$J,9,FALSE)</f>
        <v>46</v>
      </c>
    </row>
    <row r="8" spans="1:10" x14ac:dyDescent="0.2">
      <c r="A8" t="s">
        <v>46</v>
      </c>
      <c r="B8" t="s">
        <v>182</v>
      </c>
      <c r="D8" t="s">
        <v>81</v>
      </c>
      <c r="E8" t="b">
        <v>0</v>
      </c>
      <c r="F8" t="b">
        <v>0</v>
      </c>
      <c r="G8" t="b">
        <v>0</v>
      </c>
      <c r="H8">
        <v>2</v>
      </c>
      <c r="J8">
        <f>VLOOKUP(B8,Sheet1!$B:$J,9,FALSE)</f>
        <v>47</v>
      </c>
    </row>
    <row r="9" spans="1:10" x14ac:dyDescent="0.2">
      <c r="A9" t="s">
        <v>47</v>
      </c>
      <c r="B9" t="s">
        <v>182</v>
      </c>
      <c r="D9" t="s">
        <v>81</v>
      </c>
      <c r="E9" t="b">
        <v>0</v>
      </c>
      <c r="F9" t="b">
        <v>0</v>
      </c>
      <c r="G9" t="b">
        <v>0</v>
      </c>
      <c r="H9">
        <v>2</v>
      </c>
      <c r="J9">
        <f>VLOOKUP(B9,Sheet1!$B:$J,9,FALSE)</f>
        <v>47</v>
      </c>
    </row>
    <row r="10" spans="1:10" x14ac:dyDescent="0.2">
      <c r="A10" t="s">
        <v>48</v>
      </c>
      <c r="B10" t="s">
        <v>185</v>
      </c>
      <c r="D10" t="s">
        <v>81</v>
      </c>
      <c r="E10" t="b">
        <v>0</v>
      </c>
      <c r="F10" t="b">
        <v>0</v>
      </c>
      <c r="G10" t="b">
        <v>0</v>
      </c>
      <c r="H10">
        <v>2</v>
      </c>
      <c r="J10">
        <f>VLOOKUP(B10,Sheet1!$B:$J,9,FALSE)</f>
        <v>49</v>
      </c>
    </row>
    <row r="11" spans="1:10" x14ac:dyDescent="0.2">
      <c r="A11" t="s">
        <v>49</v>
      </c>
      <c r="B11" t="s">
        <v>183</v>
      </c>
      <c r="D11" t="s">
        <v>81</v>
      </c>
      <c r="E11" t="b">
        <v>0</v>
      </c>
      <c r="F11" t="b">
        <v>0</v>
      </c>
      <c r="G11" t="b">
        <v>0</v>
      </c>
      <c r="H11">
        <v>2</v>
      </c>
      <c r="J11">
        <f>VLOOKUP(B11,Sheet1!$B:$J,9,FALSE)</f>
        <v>50</v>
      </c>
    </row>
    <row r="12" spans="1:10" x14ac:dyDescent="0.2">
      <c r="A12" t="s">
        <v>50</v>
      </c>
      <c r="B12" t="s">
        <v>189</v>
      </c>
      <c r="D12" t="s">
        <v>81</v>
      </c>
      <c r="E12" t="b">
        <v>0</v>
      </c>
      <c r="F12" t="b">
        <v>0</v>
      </c>
      <c r="G12" t="b">
        <v>0</v>
      </c>
      <c r="H12">
        <v>2</v>
      </c>
      <c r="J12">
        <f>VLOOKUP(B12,Sheet1!$B:$J,9,FALSE)</f>
        <v>51</v>
      </c>
    </row>
    <row r="13" spans="1:10" x14ac:dyDescent="0.2">
      <c r="A13" t="s">
        <v>51</v>
      </c>
      <c r="B13" t="s">
        <v>188</v>
      </c>
      <c r="D13" t="s">
        <v>81</v>
      </c>
      <c r="E13" t="b">
        <v>0</v>
      </c>
      <c r="F13" t="b">
        <v>0</v>
      </c>
      <c r="G13" t="b">
        <v>0</v>
      </c>
      <c r="H13">
        <v>2</v>
      </c>
      <c r="J13">
        <f>VLOOKUP(B13,Sheet1!$B:$J,9,FALSE)</f>
        <v>52</v>
      </c>
    </row>
    <row r="14" spans="1:10" x14ac:dyDescent="0.2">
      <c r="A14" t="s">
        <v>52</v>
      </c>
      <c r="B14" t="s">
        <v>182</v>
      </c>
      <c r="D14" t="s">
        <v>81</v>
      </c>
      <c r="E14" t="b">
        <v>0</v>
      </c>
      <c r="F14" t="b">
        <v>0</v>
      </c>
      <c r="G14" t="b">
        <v>0</v>
      </c>
      <c r="H14">
        <v>2</v>
      </c>
      <c r="J14">
        <f>VLOOKUP(B14,Sheet1!$B:$J,9,FALSE)</f>
        <v>47</v>
      </c>
    </row>
    <row r="15" spans="1:10" x14ac:dyDescent="0.2">
      <c r="A15" t="s">
        <v>53</v>
      </c>
      <c r="B15" t="s">
        <v>182</v>
      </c>
      <c r="D15" t="s">
        <v>81</v>
      </c>
      <c r="E15" t="b">
        <v>0</v>
      </c>
      <c r="F15" t="b">
        <v>0</v>
      </c>
      <c r="G15" t="b">
        <v>0</v>
      </c>
      <c r="H15">
        <v>2</v>
      </c>
      <c r="J15">
        <f>VLOOKUP(B15,Sheet1!$B:$J,9,FALSE)</f>
        <v>47</v>
      </c>
    </row>
    <row r="16" spans="1:10" x14ac:dyDescent="0.2">
      <c r="A16" t="s">
        <v>27</v>
      </c>
      <c r="B16" t="s">
        <v>37</v>
      </c>
      <c r="D16" t="s">
        <v>81</v>
      </c>
      <c r="E16" t="b">
        <v>0</v>
      </c>
      <c r="F16" t="b">
        <v>0</v>
      </c>
      <c r="G16" t="b">
        <v>0</v>
      </c>
      <c r="H16">
        <v>2</v>
      </c>
      <c r="J16">
        <f>VLOOKUP(B16,Sheet1!$B:$J,9,FALSE)</f>
        <v>55</v>
      </c>
    </row>
    <row r="17" spans="1:10" x14ac:dyDescent="0.2">
      <c r="A17" t="s">
        <v>29</v>
      </c>
      <c r="B17" t="s">
        <v>28</v>
      </c>
      <c r="D17" t="s">
        <v>81</v>
      </c>
      <c r="E17" t="b">
        <v>0</v>
      </c>
      <c r="F17" t="b">
        <v>0</v>
      </c>
      <c r="G17" t="b">
        <v>0</v>
      </c>
      <c r="H17">
        <v>2</v>
      </c>
      <c r="J17">
        <f>VLOOKUP(B17,Sheet1!$B:$J,9,FALSE)</f>
        <v>56</v>
      </c>
    </row>
    <row r="18" spans="1:10" x14ac:dyDescent="0.2">
      <c r="A18" t="s">
        <v>163</v>
      </c>
      <c r="B18" t="s">
        <v>184</v>
      </c>
      <c r="D18" t="s">
        <v>81</v>
      </c>
      <c r="E18" t="b">
        <v>0</v>
      </c>
      <c r="F18" t="b">
        <v>0</v>
      </c>
      <c r="G18" t="b">
        <v>0</v>
      </c>
      <c r="H18">
        <v>2</v>
      </c>
      <c r="J18">
        <f>VLOOKUP(B18,Sheet1!$B:$J,9,FALSE)</f>
        <v>57</v>
      </c>
    </row>
    <row r="19" spans="1:10" x14ac:dyDescent="0.2">
      <c r="A19" t="s">
        <v>165</v>
      </c>
      <c r="B19" t="s">
        <v>166</v>
      </c>
      <c r="D19" t="s">
        <v>81</v>
      </c>
      <c r="E19" t="b">
        <v>0</v>
      </c>
      <c r="F19" t="b">
        <v>0</v>
      </c>
      <c r="G19" t="b">
        <v>0</v>
      </c>
      <c r="H19">
        <v>2</v>
      </c>
      <c r="J19">
        <f>VLOOKUP(B19,Sheet1!$B:$J,9,FALSE)</f>
        <v>58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05A301-C8C5-43D0-9F5D-19068884DE30}">
  <sheetPr codeName="Sheet12"/>
  <dimension ref="A1:J5"/>
  <sheetViews>
    <sheetView workbookViewId="0">
      <selection activeCell="J1" sqref="J1"/>
    </sheetView>
  </sheetViews>
  <sheetFormatPr defaultRowHeight="14.25" x14ac:dyDescent="0.2"/>
  <cols>
    <col min="1" max="1" width="23.125" customWidth="1"/>
  </cols>
  <sheetData>
    <row r="1" spans="1:10" x14ac:dyDescent="0.2">
      <c r="A1" s="2" t="s">
        <v>0</v>
      </c>
      <c r="B1" s="2" t="s">
        <v>2</v>
      </c>
      <c r="C1" s="2" t="s">
        <v>3</v>
      </c>
      <c r="D1" s="2" t="s">
        <v>8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9</v>
      </c>
      <c r="J1" s="2" t="s">
        <v>212</v>
      </c>
    </row>
    <row r="2" spans="1:10" x14ac:dyDescent="0.2">
      <c r="A2" t="s">
        <v>44</v>
      </c>
      <c r="B2" t="s">
        <v>202</v>
      </c>
      <c r="D2" t="s">
        <v>81</v>
      </c>
      <c r="E2" t="b">
        <v>0</v>
      </c>
      <c r="F2" t="b">
        <v>0</v>
      </c>
      <c r="G2" t="b">
        <v>0</v>
      </c>
      <c r="H2">
        <v>3</v>
      </c>
      <c r="J2">
        <f>VLOOKUP(B2,Sheet1!$B:$J,9,FALSE)</f>
        <v>59</v>
      </c>
    </row>
    <row r="3" spans="1:10" x14ac:dyDescent="0.2">
      <c r="A3" t="s">
        <v>45</v>
      </c>
      <c r="D3" t="s">
        <v>81</v>
      </c>
      <c r="E3" t="b">
        <v>0</v>
      </c>
      <c r="F3" t="b">
        <v>0</v>
      </c>
      <c r="G3" t="b">
        <v>1</v>
      </c>
      <c r="J3" t="e">
        <f>VLOOKUP(B3,Sheet1!$B:$J,9,FALSE)</f>
        <v>#N/A</v>
      </c>
    </row>
    <row r="4" spans="1:10" x14ac:dyDescent="0.2">
      <c r="A4" t="s">
        <v>68</v>
      </c>
      <c r="D4" t="s">
        <v>81</v>
      </c>
      <c r="E4" t="b">
        <v>0</v>
      </c>
      <c r="F4" t="b">
        <v>0</v>
      </c>
      <c r="G4" t="b">
        <v>0</v>
      </c>
      <c r="J4" t="e">
        <f>VLOOKUP(B4,Sheet1!$B:$J,9,FALSE)</f>
        <v>#N/A</v>
      </c>
    </row>
    <row r="5" spans="1:10" x14ac:dyDescent="0.2">
      <c r="A5" t="s">
        <v>148</v>
      </c>
      <c r="D5" t="s">
        <v>81</v>
      </c>
      <c r="E5" t="b">
        <v>0</v>
      </c>
      <c r="F5" t="b">
        <v>0</v>
      </c>
      <c r="G5" t="b">
        <v>1</v>
      </c>
      <c r="H5">
        <v>40</v>
      </c>
      <c r="J5" t="e">
        <f>VLOOKUP(B5,Sheet1!$B:$J,9,FALSE)</f>
        <v>#N/A</v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6FB00-700E-4256-9B25-4221B0E40BB4}">
  <sheetPr codeName="Sheet13"/>
  <dimension ref="A1:J2"/>
  <sheetViews>
    <sheetView workbookViewId="0">
      <selection activeCell="J1" sqref="J1"/>
    </sheetView>
  </sheetViews>
  <sheetFormatPr defaultRowHeight="14.25" x14ac:dyDescent="0.2"/>
  <cols>
    <col min="1" max="1" width="18" customWidth="1"/>
    <col min="2" max="2" width="17.25" customWidth="1"/>
  </cols>
  <sheetData>
    <row r="1" spans="1:10" x14ac:dyDescent="0.2">
      <c r="A1" s="2" t="s">
        <v>0</v>
      </c>
      <c r="B1" s="2" t="s">
        <v>2</v>
      </c>
      <c r="C1" s="2" t="s">
        <v>3</v>
      </c>
      <c r="D1" s="2" t="s">
        <v>8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9</v>
      </c>
      <c r="J1" s="2" t="s">
        <v>212</v>
      </c>
    </row>
    <row r="2" spans="1:10" x14ac:dyDescent="0.2">
      <c r="A2" t="s">
        <v>16</v>
      </c>
      <c r="B2" t="s">
        <v>157</v>
      </c>
      <c r="D2" t="s">
        <v>81</v>
      </c>
      <c r="E2" t="b">
        <v>0</v>
      </c>
      <c r="F2" t="b">
        <v>0</v>
      </c>
      <c r="G2" t="b">
        <v>0</v>
      </c>
      <c r="H2">
        <v>5</v>
      </c>
      <c r="J2">
        <f>VLOOKUP(B2,Sheet1!$B:$J,9,FALSE)</f>
        <v>63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1D154-F66C-44ED-ACEE-AE21B0D86A5C}">
  <sheetPr codeName="Sheet14"/>
  <dimension ref="A1:J4"/>
  <sheetViews>
    <sheetView workbookViewId="0">
      <selection activeCell="G35" sqref="G35"/>
    </sheetView>
  </sheetViews>
  <sheetFormatPr defaultRowHeight="14.25" x14ac:dyDescent="0.2"/>
  <cols>
    <col min="1" max="1" width="20.25" customWidth="1"/>
  </cols>
  <sheetData>
    <row r="1" spans="1:10" x14ac:dyDescent="0.2">
      <c r="A1" s="2" t="s">
        <v>0</v>
      </c>
      <c r="B1" s="2" t="s">
        <v>2</v>
      </c>
      <c r="C1" s="2" t="s">
        <v>3</v>
      </c>
      <c r="D1" s="2" t="s">
        <v>8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9</v>
      </c>
      <c r="J1" s="2" t="s">
        <v>212</v>
      </c>
    </row>
    <row r="2" spans="1:10" x14ac:dyDescent="0.2">
      <c r="A2" t="s">
        <v>10</v>
      </c>
      <c r="D2" t="s">
        <v>81</v>
      </c>
      <c r="E2" t="b">
        <v>1</v>
      </c>
      <c r="F2" t="b">
        <v>1</v>
      </c>
      <c r="G2" t="b">
        <v>1</v>
      </c>
      <c r="H2">
        <v>40</v>
      </c>
      <c r="J2" t="e">
        <f>VLOOKUP(B2,Sheet1!$B:$J,9,FALSE)</f>
        <v>#N/A</v>
      </c>
    </row>
    <row r="3" spans="1:10" x14ac:dyDescent="0.2">
      <c r="A3" t="s">
        <v>11</v>
      </c>
      <c r="B3" t="s">
        <v>193</v>
      </c>
      <c r="D3" t="s">
        <v>81</v>
      </c>
      <c r="E3" t="b">
        <v>1</v>
      </c>
      <c r="F3" t="b">
        <v>1</v>
      </c>
      <c r="G3" t="b">
        <v>1</v>
      </c>
      <c r="H3">
        <v>90</v>
      </c>
      <c r="J3">
        <f>VLOOKUP(B3,Sheet1!$B:$J,9,FALSE)</f>
        <v>16</v>
      </c>
    </row>
    <row r="4" spans="1:10" x14ac:dyDescent="0.2">
      <c r="A4" t="s">
        <v>78</v>
      </c>
      <c r="D4" t="s">
        <v>81</v>
      </c>
      <c r="E4" t="b">
        <v>1</v>
      </c>
      <c r="F4" t="b">
        <v>1</v>
      </c>
      <c r="G4" t="b">
        <v>1</v>
      </c>
      <c r="H4">
        <v>40</v>
      </c>
      <c r="J4" t="e">
        <f>VLOOKUP(B4,Sheet1!$B:$J,9,FALSE)</f>
        <v>#N/A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5A105-5669-461F-BE48-4998999C64AA}">
  <sheetPr codeName="Sheet1"/>
  <dimension ref="A1"/>
  <sheetViews>
    <sheetView workbookViewId="0">
      <selection activeCell="C8" sqref="C8"/>
    </sheetView>
  </sheetViews>
  <sheetFormatPr defaultRowHeight="14.25" x14ac:dyDescent="0.2"/>
  <sheetData/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导出音效_Click">
                <anchor moveWithCells="1" sizeWithCells="1">
                  <from>
                    <xdr:col>1</xdr:col>
                    <xdr:colOff>114300</xdr:colOff>
                    <xdr:row>1</xdr:row>
                    <xdr:rowOff>57150</xdr:rowOff>
                  </from>
                  <to>
                    <xdr:col>3</xdr:col>
                    <xdr:colOff>676275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Sheet1</vt:lpstr>
      <vt:lpstr>砍树</vt:lpstr>
      <vt:lpstr>NPC</vt:lpstr>
      <vt:lpstr>场景交互</vt:lpstr>
      <vt:lpstr>道具基础</vt:lpstr>
      <vt:lpstr>打地鼠</vt:lpstr>
      <vt:lpstr>UFO</vt:lpstr>
      <vt:lpstr>迷宫</vt:lpstr>
      <vt:lpstr>动物赛跑</vt:lpstr>
      <vt:lpstr>打猎、捕捉</vt:lpstr>
      <vt:lpstr>喷气椅</vt:lpstr>
      <vt:lpstr>猜拳</vt:lpstr>
      <vt:lpstr>BGM</vt:lpstr>
      <vt:lpstr>导出按钮</vt:lpstr>
    </vt:vector>
  </TitlesOfParts>
  <Company>P R 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2020-04-15T06:28:59Z</dcterms:created>
  <dcterms:modified xsi:type="dcterms:W3CDTF">2021-03-05T03:15:03Z</dcterms:modified>
</cp:coreProperties>
</file>